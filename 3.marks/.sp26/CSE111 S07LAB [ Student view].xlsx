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 &quot;yyyy&quot; &quot;"/>
    <numFmt numFmtId="165" formatCode="d&quot; &quot;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65" xfId="0" applyBorder="1" applyFont="1" applyNumberFormat="1"/>
    <xf borderId="1" fillId="0" fontId="1" numFmtId="165" xfId="0" applyBorder="1" applyFont="1" applyNumberFormat="1"/>
    <xf borderId="1" fillId="0" fontId="1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hidden="1" min="4" max="7" width="12.63"/>
  </cols>
  <sheetData>
    <row r="1">
      <c r="A1" s="1" t="str">
        <f>IFERROR(__xludf.DUMMYFUNCTION("IMPORTRANGE(""https://docs.google.com/spreadsheets/d/1ydldddTNp7Nv94tmiB0MtUc-p1wZiYwC4QK7YXviwq0/edit?gid=421446922#gid=421446922"", ""Sec07!A6:AM46"")"),"")</f>
        <v/>
      </c>
      <c r="B1" s="1"/>
      <c r="C1" s="1"/>
      <c r="D1" s="1"/>
      <c r="E1" s="1"/>
      <c r="F1" s="1"/>
      <c r="G1" s="1"/>
      <c r="H1" s="1" t="str">
        <f>IFERROR(__xludf.DUMMYFUNCTION("""COMPUTED_VALUE"""),"Attendance [ 1 = present, 0 = absent, S = sick/considered ]")</f>
        <v>Attendance [ 1 = present, 0 = absent, S = sick/considered ]</v>
      </c>
      <c r="I1" s="1"/>
      <c r="J1" s="1"/>
      <c r="K1" s="1"/>
      <c r="L1" s="1"/>
      <c r="M1" s="1"/>
      <c r="N1" s="1"/>
      <c r="O1" s="1"/>
      <c r="P1" s="1" t="str">
        <f>IFERROR(__xludf.DUMMYFUNCTION("""COMPUTED_VALUE"""),"Lab Evaluation (5)")</f>
        <v>Lab Evaluation (5)</v>
      </c>
      <c r="Q1" s="1"/>
      <c r="R1" s="1"/>
      <c r="S1" s="1"/>
      <c r="T1" s="1"/>
      <c r="U1" s="1"/>
      <c r="V1" s="1"/>
      <c r="W1" s="1"/>
      <c r="X1" s="1" t="str">
        <f>IFERROR(__xludf.DUMMYFUNCTION("""COMPUTED_VALUE"""),"Lab Assignment (5)")</f>
        <v>Lab Assignment (5)</v>
      </c>
      <c r="Y1" s="1"/>
      <c r="Z1" s="1"/>
      <c r="AA1" s="1"/>
      <c r="AB1" s="1"/>
      <c r="AC1" s="1"/>
      <c r="AD1" s="1"/>
      <c r="AE1" s="1"/>
      <c r="AF1" s="1" t="str">
        <f>IFERROR(__xludf.DUMMYFUNCTION("""COMPUTED_VALUE"""),"Lab Exams (10) [P = Plagiarism]")</f>
        <v>Lab Exams (10) [P = Plagiarism]</v>
      </c>
      <c r="AG1" s="1"/>
      <c r="AH1" s="1"/>
      <c r="AI1" s="1"/>
      <c r="AJ1" s="1"/>
      <c r="AK1" s="1" t="str">
        <f>IFERROR(__xludf.DUMMYFUNCTION("""COMPUTED_VALUE"""),"SUMMARY")</f>
        <v>SUMMARY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>
      <c r="A2" s="1" t="str">
        <f>IFERROR(__xludf.DUMMYFUNCTION("""COMPUTED_VALUE"""),"SL")</f>
        <v>SL</v>
      </c>
      <c r="B2" s="1" t="str">
        <f>IFERROR(__xludf.DUMMYFUNCTION("""COMPUTED_VALUE"""),"ID")</f>
        <v>ID</v>
      </c>
      <c r="C2" s="1" t="str">
        <f>IFERROR(__xludf.DUMMYFUNCTION("""COMPUTED_VALUE"""),"Name")</f>
        <v>Name</v>
      </c>
      <c r="D2" s="1" t="str">
        <f>IFERROR(__xludf.DUMMYFUNCTION("""COMPUTED_VALUE"""),"GSUITE")</f>
        <v>GSUITE</v>
      </c>
      <c r="E2" s="1" t="str">
        <f>IFERROR(__xludf.DUMMYFUNCTION("""COMPUTED_VALUE"""),"Lab Policy Signed?")</f>
        <v>Lab Policy Signed?</v>
      </c>
      <c r="F2" s="1" t="str">
        <f>IFERROR(__xludf.DUMMYFUNCTION("""COMPUTED_VALUE"""),"Absent Count")</f>
        <v>Absent Count</v>
      </c>
      <c r="G2" s="1" t="str">
        <f>IFERROR(__xludf.DUMMYFUNCTION("""COMPUTED_VALUE"""),"Final Exam Eligibility")</f>
        <v>Final Exam Eligibility</v>
      </c>
      <c r="H2" s="1" t="str">
        <f>IFERROR(__xludf.DUMMYFUNCTION("""COMPUTED_VALUE"""),"LAB 1")</f>
        <v>LAB 1</v>
      </c>
      <c r="I2" s="1" t="str">
        <f>IFERROR(__xludf.DUMMYFUNCTION("""COMPUTED_VALUE"""),"LAB 2")</f>
        <v>LAB 2</v>
      </c>
      <c r="J2" s="1" t="str">
        <f>IFERROR(__xludf.DUMMYFUNCTION("""COMPUTED_VALUE"""),"LAB 3")</f>
        <v>LAB 3</v>
      </c>
      <c r="K2" s="1" t="str">
        <f>IFERROR(__xludf.DUMMYFUNCTION("""COMPUTED_VALUE"""),"LAB 4")</f>
        <v>LAB 4</v>
      </c>
      <c r="L2" s="1" t="str">
        <f>IFERROR(__xludf.DUMMYFUNCTION("""COMPUTED_VALUE"""),"LAB 5")</f>
        <v>LAB 5</v>
      </c>
      <c r="M2" s="1" t="str">
        <f>IFERROR(__xludf.DUMMYFUNCTION("""COMPUTED_VALUE"""),"LAB 6")</f>
        <v>LAB 6</v>
      </c>
      <c r="N2" s="1" t="str">
        <f>IFERROR(__xludf.DUMMYFUNCTION("""COMPUTED_VALUE"""),"LAB 7")</f>
        <v>LAB 7</v>
      </c>
      <c r="O2" s="1" t="str">
        <f>IFERROR(__xludf.DUMMYFUNCTION("""COMPUTED_VALUE"""),"LAB 8")</f>
        <v>LAB 8</v>
      </c>
      <c r="P2" s="1" t="str">
        <f>IFERROR(__xludf.DUMMYFUNCTION("""COMPUTED_VALUE"""),"LAB 1")</f>
        <v>LAB 1</v>
      </c>
      <c r="Q2" s="1" t="str">
        <f>IFERROR(__xludf.DUMMYFUNCTION("""COMPUTED_VALUE"""),"LAB 2")</f>
        <v>LAB 2</v>
      </c>
      <c r="R2" s="1" t="str">
        <f>IFERROR(__xludf.DUMMYFUNCTION("""COMPUTED_VALUE"""),"LAB 3")</f>
        <v>LAB 3</v>
      </c>
      <c r="S2" s="1" t="str">
        <f>IFERROR(__xludf.DUMMYFUNCTION("""COMPUTED_VALUE"""),"LAB 4")</f>
        <v>LAB 4</v>
      </c>
      <c r="T2" s="1" t="str">
        <f>IFERROR(__xludf.DUMMYFUNCTION("""COMPUTED_VALUE"""),"LAB 5")</f>
        <v>LAB 5</v>
      </c>
      <c r="U2" s="1" t="str">
        <f>IFERROR(__xludf.DUMMYFUNCTION("""COMPUTED_VALUE"""),"LAB 6")</f>
        <v>LAB 6</v>
      </c>
      <c r="V2" s="1" t="str">
        <f>IFERROR(__xludf.DUMMYFUNCTION("""COMPUTED_VALUE"""),"LAB 7")</f>
        <v>LAB 7</v>
      </c>
      <c r="W2" s="1" t="str">
        <f>IFERROR(__xludf.DUMMYFUNCTION("""COMPUTED_VALUE"""),"LAB 8")</f>
        <v>LAB 8</v>
      </c>
      <c r="X2" s="1" t="str">
        <f>IFERROR(__xludf.DUMMYFUNCTION("""COMPUTED_VALUE"""),"A1")</f>
        <v>A1</v>
      </c>
      <c r="Y2" s="1" t="str">
        <f>IFERROR(__xludf.DUMMYFUNCTION("""COMPUTED_VALUE"""),"A2")</f>
        <v>A2</v>
      </c>
      <c r="Z2" s="1" t="str">
        <f>IFERROR(__xludf.DUMMYFUNCTION("""COMPUTED_VALUE"""),"A3")</f>
        <v>A3</v>
      </c>
      <c r="AA2" s="1" t="str">
        <f>IFERROR(__xludf.DUMMYFUNCTION("""COMPUTED_VALUE"""),"A4")</f>
        <v>A4</v>
      </c>
      <c r="AB2" s="1" t="str">
        <f>IFERROR(__xludf.DUMMYFUNCTION("""COMPUTED_VALUE"""),"A5")</f>
        <v>A5</v>
      </c>
      <c r="AC2" s="1" t="str">
        <f>IFERROR(__xludf.DUMMYFUNCTION("""COMPUTED_VALUE"""),"A6")</f>
        <v>A6</v>
      </c>
      <c r="AD2" s="1" t="str">
        <f>IFERROR(__xludf.DUMMYFUNCTION("""COMPUTED_VALUE"""),"A7")</f>
        <v>A7</v>
      </c>
      <c r="AE2" s="1" t="str">
        <f>IFERROR(__xludf.DUMMYFUNCTION("""COMPUTED_VALUE"""),"A8")</f>
        <v>A8</v>
      </c>
      <c r="AF2" s="2" t="str">
        <f>IFERROR(__xludf.DUMMYFUNCTION("""COMPUTED_VALUE"""),"Exam#1")</f>
        <v>Exam#1</v>
      </c>
      <c r="AG2" s="2" t="str">
        <f>IFERROR(__xludf.DUMMYFUNCTION("""COMPUTED_VALUE"""),"Exam#2")</f>
        <v>Exam#2</v>
      </c>
      <c r="AH2" s="2" t="str">
        <f>IFERROR(__xludf.DUMMYFUNCTION("""COMPUTED_VALUE"""),"Exam#3")</f>
        <v>Exam#3</v>
      </c>
      <c r="AI2" s="2" t="str">
        <f>IFERROR(__xludf.DUMMYFUNCTION("""COMPUTED_VALUE"""),"Exam#4")</f>
        <v>Exam#4</v>
      </c>
      <c r="AJ2" s="1" t="str">
        <f>IFERROR(__xludf.DUMMYFUNCTION("""COMPUTED_VALUE"""),"Plagiarism ")</f>
        <v>Plagiarism </v>
      </c>
      <c r="AK2" s="1" t="str">
        <f>IFERROR(__xludf.DUMMYFUNCTION("""COMPUTED_VALUE"""),"Lab Exam (N-1)")</f>
        <v>Lab Exam (N-1)</v>
      </c>
      <c r="AL2" s="1" t="str">
        <f>IFERROR(__xludf.DUMMYFUNCTION("""COMPUTED_VALUE"""),"Lab Performance (Avg)")</f>
        <v>Lab Performance (Avg)</v>
      </c>
      <c r="AM2" s="1" t="str">
        <f>IFERROR(__xludf.DUMMYFUNCTION("""COMPUTED_VALUE"""),"Assignment
(Avg)")</f>
        <v>Assignment
(Avg)</v>
      </c>
      <c r="AN2" s="1"/>
      <c r="AO2" s="1"/>
      <c r="AP2" s="1"/>
      <c r="AQ2" s="1"/>
      <c r="AR2" s="1"/>
      <c r="AS2" s="1"/>
      <c r="AT2" s="1"/>
      <c r="AU2" s="1"/>
      <c r="AV2" s="1"/>
      <c r="AW2" s="1"/>
    </row>
    <row r="3">
      <c r="A3" s="1"/>
      <c r="B3" s="1"/>
      <c r="C3" s="1"/>
      <c r="D3" s="1"/>
      <c r="E3" s="1"/>
      <c r="F3" s="1"/>
      <c r="G3" s="1"/>
      <c r="H3" s="3">
        <f>IFERROR(__xludf.DUMMYFUNCTION("""COMPUTED_VALUE"""),46071.0)</f>
        <v>46071</v>
      </c>
      <c r="I3" s="3">
        <f>IFERROR(__xludf.DUMMYFUNCTION("""COMPUTED_VALUE"""),46078.0)</f>
        <v>46078</v>
      </c>
      <c r="J3" s="3">
        <f>IFERROR(__xludf.DUMMYFUNCTION("""COMPUTED_VALUE"""),46085.0)</f>
        <v>46085</v>
      </c>
      <c r="K3" s="3">
        <f>IFERROR(__xludf.DUMMYFUNCTION("""COMPUTED_VALUE"""),46092.0)</f>
        <v>46092</v>
      </c>
      <c r="L3" s="4">
        <f>IFERROR(__xludf.DUMMYFUNCTION("""COMPUTED_VALUE"""),46127.0)</f>
        <v>46127</v>
      </c>
      <c r="M3" s="4">
        <f>IFERROR(__xludf.DUMMYFUNCTION("""COMPUTED_VALUE"""),46134.0)</f>
        <v>46134</v>
      </c>
      <c r="N3" s="4">
        <f>IFERROR(__xludf.DUMMYFUNCTION("""COMPUTED_VALUE"""),46141.0)</f>
        <v>46141</v>
      </c>
      <c r="O3" s="4">
        <f>IFERROR(__xludf.DUMMYFUNCTION("""COMPUTED_VALUE"""),46148.0)</f>
        <v>46148</v>
      </c>
      <c r="P3" s="4">
        <f>IFERROR(__xludf.DUMMYFUNCTION("""COMPUTED_VALUE"""),46071.0)</f>
        <v>46071</v>
      </c>
      <c r="Q3" s="4">
        <f>IFERROR(__xludf.DUMMYFUNCTION("""COMPUTED_VALUE"""),46078.0)</f>
        <v>46078</v>
      </c>
      <c r="R3" s="4">
        <f>IFERROR(__xludf.DUMMYFUNCTION("""COMPUTED_VALUE"""),46085.0)</f>
        <v>46085</v>
      </c>
      <c r="S3" s="4">
        <f>IFERROR(__xludf.DUMMYFUNCTION("""COMPUTED_VALUE"""),46092.0)</f>
        <v>46092</v>
      </c>
      <c r="T3" s="4">
        <f>IFERROR(__xludf.DUMMYFUNCTION("""COMPUTED_VALUE"""),46127.0)</f>
        <v>46127</v>
      </c>
      <c r="U3" s="4">
        <f>IFERROR(__xludf.DUMMYFUNCTION("""COMPUTED_VALUE"""),46134.0)</f>
        <v>46134</v>
      </c>
      <c r="V3" s="4">
        <f>IFERROR(__xludf.DUMMYFUNCTION("""COMPUTED_VALUE"""),46141.0)</f>
        <v>46141</v>
      </c>
      <c r="W3" s="4">
        <f>IFERROR(__xludf.DUMMYFUNCTION("""COMPUTED_VALUE"""),46148.0)</f>
        <v>46148</v>
      </c>
      <c r="X3" s="1"/>
      <c r="Y3" s="1"/>
      <c r="Z3" s="1"/>
      <c r="AA3" s="1"/>
      <c r="AB3" s="1"/>
      <c r="AC3" s="1"/>
      <c r="AD3" s="1"/>
      <c r="AE3" s="1"/>
      <c r="AF3" s="3">
        <f>IFERROR(__xludf.DUMMYFUNCTION("""COMPUTED_VALUE"""),46085.0)</f>
        <v>46085</v>
      </c>
      <c r="AG3" s="3">
        <f>IFERROR(__xludf.DUMMYFUNCTION("""COMPUTED_VALUE"""),46134.0)</f>
        <v>46134</v>
      </c>
      <c r="AH3" s="3">
        <f>IFERROR(__xludf.DUMMYFUNCTION("""COMPUTED_VALUE"""),46141.0)</f>
        <v>46141</v>
      </c>
      <c r="AI3" s="3">
        <f>IFERROR(__xludf.DUMMYFUNCTION("""COMPUTED_VALUE"""),46148.0)</f>
        <v>46148</v>
      </c>
      <c r="AJ3" s="1"/>
      <c r="AK3" s="1">
        <f>IFERROR(__xludf.DUMMYFUNCTION("""COMPUTED_VALUE"""),20.0)</f>
        <v>20</v>
      </c>
      <c r="AL3" s="1">
        <f>IFERROR(__xludf.DUMMYFUNCTION("""COMPUTED_VALUE"""),3.0)</f>
        <v>3</v>
      </c>
      <c r="AM3" s="1">
        <f>IFERROR(__xludf.DUMMYFUNCTION("""COMPUTED_VALUE"""),2.0)</f>
        <v>2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>
      <c r="A4" s="1">
        <f>IFERROR(__xludf.DUMMYFUNCTION("""COMPUTED_VALUE"""),1.0)</f>
        <v>1</v>
      </c>
      <c r="B4" s="1" t="str">
        <f>IFERROR(__xludf.DUMMYFUNCTION("""COMPUTED_VALUE"""),"1000055372")</f>
        <v>1000055372</v>
      </c>
      <c r="C4" s="1" t="str">
        <f>IFERROR(__xludf.DUMMYFUNCTION("""COMPUTED_VALUE"""),"Md. Ishrak Haider")</f>
        <v>Md. Ishrak Haider</v>
      </c>
      <c r="D4" s="1" t="str">
        <f>IFERROR(__xludf.DUMMYFUNCTION("""COMPUTED_VALUE"""),"md.ishrak.haider@g.bracu.ac.bd")</f>
        <v>md.ishrak.haider@g.bracu.ac.bd</v>
      </c>
      <c r="E4" s="1" t="b">
        <f>IFERROR(__xludf.DUMMYFUNCTION("""COMPUTED_VALUE"""),TRUE)</f>
        <v>1</v>
      </c>
      <c r="F4" s="1">
        <f>IFERROR(__xludf.DUMMYFUNCTION("""COMPUTED_VALUE"""),0.0)</f>
        <v>0</v>
      </c>
      <c r="G4" s="1" t="str">
        <f>IFERROR(__xludf.DUMMYFUNCTION("""COMPUTED_VALUE"""),"OKAY")</f>
        <v>OKAY</v>
      </c>
      <c r="H4" s="1">
        <f>IFERROR(__xludf.DUMMYFUNCTION("""COMPUTED_VALUE"""),0.0)</f>
        <v>0</v>
      </c>
      <c r="I4" s="1">
        <f>IFERROR(__xludf.DUMMYFUNCTION("""COMPUTED_VALUE"""),1.0)</f>
        <v>1</v>
      </c>
      <c r="J4" s="1">
        <f>IFERROR(__xludf.DUMMYFUNCTION("""COMPUTED_VALUE"""),1.0)</f>
        <v>1</v>
      </c>
      <c r="K4" s="1">
        <f>IFERROR(__xludf.DUMMYFUNCTION("""COMPUTED_VALUE"""),1.0)</f>
        <v>1</v>
      </c>
      <c r="L4" s="1">
        <f>IFERROR(__xludf.DUMMYFUNCTION("""COMPUTED_VALUE"""),1.0)</f>
        <v>1</v>
      </c>
      <c r="M4" s="1">
        <f>IFERROR(__xludf.DUMMYFUNCTION("""COMPUTED_VALUE"""),1.0)</f>
        <v>1</v>
      </c>
      <c r="N4" s="1">
        <f>IFERROR(__xludf.DUMMYFUNCTION("""COMPUTED_VALUE"""),1.0)</f>
        <v>1</v>
      </c>
      <c r="O4" s="1">
        <f>IFERROR(__xludf.DUMMYFUNCTION("""COMPUTED_VALUE"""),1.0)</f>
        <v>1</v>
      </c>
      <c r="P4" s="1"/>
      <c r="Q4" s="1">
        <f>IFERROR(__xludf.DUMMYFUNCTION("""COMPUTED_VALUE"""),5.0)</f>
        <v>5</v>
      </c>
      <c r="R4" s="1"/>
      <c r="S4" s="1"/>
      <c r="T4" s="1"/>
      <c r="U4" s="1">
        <f>IFERROR(__xludf.DUMMYFUNCTION("""COMPUTED_VALUE"""),0.0)</f>
        <v>0</v>
      </c>
      <c r="V4" s="1"/>
      <c r="W4" s="1"/>
      <c r="X4" s="1">
        <f>IFERROR(__xludf.DUMMYFUNCTION("""COMPUTED_VALUE"""),1.0)</f>
        <v>1</v>
      </c>
      <c r="Y4" s="1">
        <f>IFERROR(__xludf.DUMMYFUNCTION("""COMPUTED_VALUE"""),5.0)</f>
        <v>5</v>
      </c>
      <c r="Z4" s="1"/>
      <c r="AA4" s="1">
        <f>IFERROR(__xludf.DUMMYFUNCTION("""COMPUTED_VALUE"""),5.0)</f>
        <v>5</v>
      </c>
      <c r="AB4" s="1">
        <f>IFERROR(__xludf.DUMMYFUNCTION("""COMPUTED_VALUE"""),4.0)</f>
        <v>4</v>
      </c>
      <c r="AC4" s="1">
        <f>IFERROR(__xludf.DUMMYFUNCTION("""COMPUTED_VALUE"""),5.0)</f>
        <v>5</v>
      </c>
      <c r="AD4" s="1">
        <f>IFERROR(__xludf.DUMMYFUNCTION("""COMPUTED_VALUE"""),5.0)</f>
        <v>5</v>
      </c>
      <c r="AE4" s="1">
        <f>IFERROR(__xludf.DUMMYFUNCTION("""COMPUTED_VALUE"""),5.0)</f>
        <v>5</v>
      </c>
      <c r="AF4" s="1">
        <f>IFERROR(__xludf.DUMMYFUNCTION("""COMPUTED_VALUE"""),5.0)</f>
        <v>5</v>
      </c>
      <c r="AG4" s="1">
        <f>IFERROR(__xludf.DUMMYFUNCTION("""COMPUTED_VALUE"""),6.0)</f>
        <v>6</v>
      </c>
      <c r="AH4" s="1">
        <f>IFERROR(__xludf.DUMMYFUNCTION("""COMPUTED_VALUE"""),4.25)</f>
        <v>4.25</v>
      </c>
      <c r="AI4" s="1">
        <f>IFERROR(__xludf.DUMMYFUNCTION("""COMPUTED_VALUE"""),1.0)</f>
        <v>1</v>
      </c>
      <c r="AJ4" s="5">
        <f>IFERROR(__xludf.DUMMYFUNCTION("""COMPUTED_VALUE"""),0.0)</f>
        <v>0</v>
      </c>
      <c r="AK4" s="1">
        <f>IFERROR(__xludf.DUMMYFUNCTION("""COMPUTED_VALUE"""),10.167)</f>
        <v>10.167</v>
      </c>
      <c r="AL4" s="1">
        <f>IFERROR(__xludf.DUMMYFUNCTION("""COMPUTED_VALUE"""),1.5)</f>
        <v>1.5</v>
      </c>
      <c r="AM4" s="1">
        <f>IFERROR(__xludf.DUMMYFUNCTION("""COMPUTED_VALUE"""),1.5)</f>
        <v>1.5</v>
      </c>
      <c r="AN4" s="1"/>
      <c r="AO4" s="1"/>
      <c r="AP4" s="1"/>
      <c r="AQ4" s="1"/>
      <c r="AR4" s="1"/>
      <c r="AS4" s="1"/>
      <c r="AT4" s="1"/>
      <c r="AU4" s="1"/>
      <c r="AV4" s="1"/>
      <c r="AW4" s="1"/>
    </row>
    <row r="5">
      <c r="A5" s="1">
        <f>IFERROR(__xludf.DUMMYFUNCTION("""COMPUTED_VALUE"""),2.0)</f>
        <v>2</v>
      </c>
      <c r="B5" s="1" t="str">
        <f>IFERROR(__xludf.DUMMYFUNCTION("""COMPUTED_VALUE"""),"1000055764")</f>
        <v>1000055764</v>
      </c>
      <c r="C5" s="1" t="str">
        <f>IFERROR(__xludf.DUMMYFUNCTION("""COMPUTED_VALUE"""),"Tishan Habib")</f>
        <v>Tishan Habib</v>
      </c>
      <c r="D5" s="1" t="str">
        <f>IFERROR(__xludf.DUMMYFUNCTION("""COMPUTED_VALUE"""),"tishan.habib@g.bracu.ac.bd")</f>
        <v>tishan.habib@g.bracu.ac.bd</v>
      </c>
      <c r="E5" s="1" t="b">
        <f>IFERROR(__xludf.DUMMYFUNCTION("""COMPUTED_VALUE"""),TRUE)</f>
        <v>1</v>
      </c>
      <c r="F5" s="1">
        <f>IFERROR(__xludf.DUMMYFUNCTION("""COMPUTED_VALUE"""),1.0)</f>
        <v>1</v>
      </c>
      <c r="G5" s="1" t="str">
        <f>IFERROR(__xludf.DUMMYFUNCTION("""COMPUTED_VALUE"""),"WARNING")</f>
        <v>WARNING</v>
      </c>
      <c r="H5" s="1">
        <f>IFERROR(__xludf.DUMMYFUNCTION("""COMPUTED_VALUE"""),1.0)</f>
        <v>1</v>
      </c>
      <c r="I5" s="1">
        <f>IFERROR(__xludf.DUMMYFUNCTION("""COMPUTED_VALUE"""),0.0)</f>
        <v>0</v>
      </c>
      <c r="J5" s="1">
        <f>IFERROR(__xludf.DUMMYFUNCTION("""COMPUTED_VALUE"""),1.0)</f>
        <v>1</v>
      </c>
      <c r="K5" s="1">
        <f>IFERROR(__xludf.DUMMYFUNCTION("""COMPUTED_VALUE"""),1.0)</f>
        <v>1</v>
      </c>
      <c r="L5" s="1" t="str">
        <f>IFERROR(__xludf.DUMMYFUNCTION("""COMPUTED_VALUE"""),"s")</f>
        <v>s</v>
      </c>
      <c r="M5" s="1">
        <f>IFERROR(__xludf.DUMMYFUNCTION("""COMPUTED_VALUE"""),1.0)</f>
        <v>1</v>
      </c>
      <c r="N5" s="1">
        <f>IFERROR(__xludf.DUMMYFUNCTION("""COMPUTED_VALUE"""),1.0)</f>
        <v>1</v>
      </c>
      <c r="O5" s="1">
        <f>IFERROR(__xludf.DUMMYFUNCTION("""COMPUTED_VALUE"""),1.0)</f>
        <v>1</v>
      </c>
      <c r="P5" s="1"/>
      <c r="Q5" s="1"/>
      <c r="R5" s="1"/>
      <c r="S5" s="1"/>
      <c r="T5" s="1"/>
      <c r="U5" s="1">
        <f>IFERROR(__xludf.DUMMYFUNCTION("""COMPUTED_VALUE"""),5.0)</f>
        <v>5</v>
      </c>
      <c r="V5" s="1"/>
      <c r="W5" s="1"/>
      <c r="X5" s="1"/>
      <c r="Y5" s="1">
        <f>IFERROR(__xludf.DUMMYFUNCTION("""COMPUTED_VALUE"""),0.0)</f>
        <v>0</v>
      </c>
      <c r="Z5" s="1"/>
      <c r="AA5" s="1">
        <f>IFERROR(__xludf.DUMMYFUNCTION("""COMPUTED_VALUE"""),0.0)</f>
        <v>0</v>
      </c>
      <c r="AB5" s="1"/>
      <c r="AC5" s="1"/>
      <c r="AD5" s="1"/>
      <c r="AE5" s="1"/>
      <c r="AF5" s="1">
        <f>IFERROR(__xludf.DUMMYFUNCTION("""COMPUTED_VALUE"""),7.0)</f>
        <v>7</v>
      </c>
      <c r="AG5" s="1">
        <f>IFERROR(__xludf.DUMMYFUNCTION("""COMPUTED_VALUE"""),4.5)</f>
        <v>4.5</v>
      </c>
      <c r="AH5" s="1">
        <f>IFERROR(__xludf.DUMMYFUNCTION("""COMPUTED_VALUE"""),7.5)</f>
        <v>7.5</v>
      </c>
      <c r="AI5" s="1">
        <f>IFERROR(__xludf.DUMMYFUNCTION("""COMPUTED_VALUE"""),6.0)</f>
        <v>6</v>
      </c>
      <c r="AJ5" s="5">
        <f>IFERROR(__xludf.DUMMYFUNCTION("""COMPUTED_VALUE"""),0.0)</f>
        <v>0</v>
      </c>
      <c r="AK5" s="1">
        <f>IFERROR(__xludf.DUMMYFUNCTION("""COMPUTED_VALUE"""),13.667)</f>
        <v>13.667</v>
      </c>
      <c r="AL5" s="1">
        <f>IFERROR(__xludf.DUMMYFUNCTION("""COMPUTED_VALUE"""),1.5)</f>
        <v>1.5</v>
      </c>
      <c r="AM5" s="1">
        <f>IFERROR(__xludf.DUMMYFUNCTION("""COMPUTED_VALUE"""),0.0)</f>
        <v>0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>
      <c r="A6" s="1">
        <f>IFERROR(__xludf.DUMMYFUNCTION("""COMPUTED_VALUE"""),3.0)</f>
        <v>3</v>
      </c>
      <c r="B6" s="1" t="str">
        <f>IFERROR(__xludf.DUMMYFUNCTION("""COMPUTED_VALUE"""),"1000055801")</f>
        <v>1000055801</v>
      </c>
      <c r="C6" s="1" t="str">
        <f>IFERROR(__xludf.DUMMYFUNCTION("""COMPUTED_VALUE"""),"Siam Mahmud")</f>
        <v>Siam Mahmud</v>
      </c>
      <c r="D6" s="1" t="str">
        <f>IFERROR(__xludf.DUMMYFUNCTION("""COMPUTED_VALUE"""),"siam.mahmud1@g.bracu.ac.bd")</f>
        <v>siam.mahmud1@g.bracu.ac.bd</v>
      </c>
      <c r="E6" s="1" t="b">
        <f>IFERROR(__xludf.DUMMYFUNCTION("""COMPUTED_VALUE"""),TRUE)</f>
        <v>1</v>
      </c>
      <c r="F6" s="1">
        <f>IFERROR(__xludf.DUMMYFUNCTION("""COMPUTED_VALUE"""),1.0)</f>
        <v>1</v>
      </c>
      <c r="G6" s="1" t="str">
        <f>IFERROR(__xludf.DUMMYFUNCTION("""COMPUTED_VALUE"""),"WARNING")</f>
        <v>WARNING</v>
      </c>
      <c r="H6" s="1">
        <f>IFERROR(__xludf.DUMMYFUNCTION("""COMPUTED_VALUE"""),1.0)</f>
        <v>1</v>
      </c>
      <c r="I6" s="1">
        <f>IFERROR(__xludf.DUMMYFUNCTION("""COMPUTED_VALUE"""),1.0)</f>
        <v>1</v>
      </c>
      <c r="J6" s="1">
        <f>IFERROR(__xludf.DUMMYFUNCTION("""COMPUTED_VALUE"""),1.0)</f>
        <v>1</v>
      </c>
      <c r="K6" s="1">
        <f>IFERROR(__xludf.DUMMYFUNCTION("""COMPUTED_VALUE"""),0.0)</f>
        <v>0</v>
      </c>
      <c r="L6" s="1">
        <f>IFERROR(__xludf.DUMMYFUNCTION("""COMPUTED_VALUE"""),1.0)</f>
        <v>1</v>
      </c>
      <c r="M6" s="1">
        <f>IFERROR(__xludf.DUMMYFUNCTION("""COMPUTED_VALUE"""),1.0)</f>
        <v>1</v>
      </c>
      <c r="N6" s="1">
        <f>IFERROR(__xludf.DUMMYFUNCTION("""COMPUTED_VALUE"""),1.0)</f>
        <v>1</v>
      </c>
      <c r="O6" s="1" t="str">
        <f>IFERROR(__xludf.DUMMYFUNCTION("""COMPUTED_VALUE"""),"S")</f>
        <v>S</v>
      </c>
      <c r="P6" s="1"/>
      <c r="Q6" s="1">
        <f>IFERROR(__xludf.DUMMYFUNCTION("""COMPUTED_VALUE"""),2.5)</f>
        <v>2.5</v>
      </c>
      <c r="R6" s="1"/>
      <c r="S6" s="1"/>
      <c r="T6" s="1"/>
      <c r="U6" s="1">
        <f>IFERROR(__xludf.DUMMYFUNCTION("""COMPUTED_VALUE"""),5.0)</f>
        <v>5</v>
      </c>
      <c r="V6" s="1"/>
      <c r="W6" s="1"/>
      <c r="X6" s="1">
        <f>IFERROR(__xludf.DUMMYFUNCTION("""COMPUTED_VALUE"""),4.0)</f>
        <v>4</v>
      </c>
      <c r="Y6" s="1">
        <f>IFERROR(__xludf.DUMMYFUNCTION("""COMPUTED_VALUE"""),4.0)</f>
        <v>4</v>
      </c>
      <c r="Z6" s="1"/>
      <c r="AA6" s="1">
        <f>IFERROR(__xludf.DUMMYFUNCTION("""COMPUTED_VALUE"""),1.0)</f>
        <v>1</v>
      </c>
      <c r="AB6" s="1">
        <f>IFERROR(__xludf.DUMMYFUNCTION("""COMPUTED_VALUE"""),1.0)</f>
        <v>1</v>
      </c>
      <c r="AC6" s="1">
        <f>IFERROR(__xludf.DUMMYFUNCTION("""COMPUTED_VALUE"""),5.0)</f>
        <v>5</v>
      </c>
      <c r="AD6" s="1"/>
      <c r="AE6" s="1"/>
      <c r="AF6" s="1">
        <f>IFERROR(__xludf.DUMMYFUNCTION("""COMPUTED_VALUE"""),3.0)</f>
        <v>3</v>
      </c>
      <c r="AG6" s="1">
        <f>IFERROR(__xludf.DUMMYFUNCTION("""COMPUTED_VALUE"""),3.0)</f>
        <v>3</v>
      </c>
      <c r="AH6" s="1">
        <f>IFERROR(__xludf.DUMMYFUNCTION("""COMPUTED_VALUE"""),4.0)</f>
        <v>4</v>
      </c>
      <c r="AI6" s="1"/>
      <c r="AJ6" s="5">
        <f>IFERROR(__xludf.DUMMYFUNCTION("""COMPUTED_VALUE"""),0.0)</f>
        <v>0</v>
      </c>
      <c r="AK6" s="1">
        <f>IFERROR(__xludf.DUMMYFUNCTION("""COMPUTED_VALUE"""),6.667)</f>
        <v>6.667</v>
      </c>
      <c r="AL6" s="1">
        <f>IFERROR(__xludf.DUMMYFUNCTION("""COMPUTED_VALUE"""),2.25)</f>
        <v>2.25</v>
      </c>
      <c r="AM6" s="1">
        <f>IFERROR(__xludf.DUMMYFUNCTION("""COMPUTED_VALUE"""),0.75)</f>
        <v>0.75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>
      <c r="A7" s="1">
        <f>IFERROR(__xludf.DUMMYFUNCTION("""COMPUTED_VALUE"""),4.0)</f>
        <v>4</v>
      </c>
      <c r="B7" s="1" t="str">
        <f>IFERROR(__xludf.DUMMYFUNCTION("""COMPUTED_VALUE"""),"1000055842")</f>
        <v>1000055842</v>
      </c>
      <c r="C7" s="1" t="str">
        <f>IFERROR(__xludf.DUMMYFUNCTION("""COMPUTED_VALUE"""),"Shuparno Rahman")</f>
        <v>Shuparno Rahman</v>
      </c>
      <c r="D7" s="1" t="str">
        <f>IFERROR(__xludf.DUMMYFUNCTION("""COMPUTED_VALUE"""),"shuparno.rahman@g.bracu.ac.bd")</f>
        <v>shuparno.rahman@g.bracu.ac.bd</v>
      </c>
      <c r="E7" s="1" t="b">
        <f>IFERROR(__xludf.DUMMYFUNCTION("""COMPUTED_VALUE"""),TRUE)</f>
        <v>1</v>
      </c>
      <c r="F7" s="1">
        <f>IFERROR(__xludf.DUMMYFUNCTION("""COMPUTED_VALUE"""),1.0)</f>
        <v>1</v>
      </c>
      <c r="G7" s="1" t="str">
        <f>IFERROR(__xludf.DUMMYFUNCTION("""COMPUTED_VALUE"""),"WARNING")</f>
        <v>WARNING</v>
      </c>
      <c r="H7" s="1">
        <f>IFERROR(__xludf.DUMMYFUNCTION("""COMPUTED_VALUE"""),1.0)</f>
        <v>1</v>
      </c>
      <c r="I7" s="1">
        <f>IFERROR(__xludf.DUMMYFUNCTION("""COMPUTED_VALUE"""),1.0)</f>
        <v>1</v>
      </c>
      <c r="J7" s="1">
        <f>IFERROR(__xludf.DUMMYFUNCTION("""COMPUTED_VALUE"""),1.0)</f>
        <v>1</v>
      </c>
      <c r="K7" s="1">
        <f>IFERROR(__xludf.DUMMYFUNCTION("""COMPUTED_VALUE"""),1.0)</f>
        <v>1</v>
      </c>
      <c r="L7" s="1">
        <f>IFERROR(__xludf.DUMMYFUNCTION("""COMPUTED_VALUE"""),1.0)</f>
        <v>1</v>
      </c>
      <c r="M7" s="1">
        <f>IFERROR(__xludf.DUMMYFUNCTION("""COMPUTED_VALUE"""),1.0)</f>
        <v>1</v>
      </c>
      <c r="N7" s="1">
        <f>IFERROR(__xludf.DUMMYFUNCTION("""COMPUTED_VALUE"""),0.0)</f>
        <v>0</v>
      </c>
      <c r="O7" s="1">
        <f>IFERROR(__xludf.DUMMYFUNCTION("""COMPUTED_VALUE"""),1.0)</f>
        <v>1</v>
      </c>
      <c r="P7" s="1"/>
      <c r="Q7" s="1">
        <f>IFERROR(__xludf.DUMMYFUNCTION("""COMPUTED_VALUE"""),5.0)</f>
        <v>5</v>
      </c>
      <c r="R7" s="1"/>
      <c r="S7" s="1"/>
      <c r="T7" s="1"/>
      <c r="U7" s="1">
        <f>IFERROR(__xludf.DUMMYFUNCTION("""COMPUTED_VALUE"""),5.0)</f>
        <v>5</v>
      </c>
      <c r="V7" s="1"/>
      <c r="W7" s="1"/>
      <c r="X7" s="1">
        <f>IFERROR(__xludf.DUMMYFUNCTION("""COMPUTED_VALUE"""),5.0)</f>
        <v>5</v>
      </c>
      <c r="Y7" s="1">
        <f>IFERROR(__xludf.DUMMYFUNCTION("""COMPUTED_VALUE"""),5.0)</f>
        <v>5</v>
      </c>
      <c r="Z7" s="1">
        <f>IFERROR(__xludf.DUMMYFUNCTION("""COMPUTED_VALUE"""),4.0)</f>
        <v>4</v>
      </c>
      <c r="AA7" s="1">
        <f>IFERROR(__xludf.DUMMYFUNCTION("""COMPUTED_VALUE"""),1.0)</f>
        <v>1</v>
      </c>
      <c r="AB7" s="1">
        <f>IFERROR(__xludf.DUMMYFUNCTION("""COMPUTED_VALUE"""),5.0)</f>
        <v>5</v>
      </c>
      <c r="AC7" s="1">
        <f>IFERROR(__xludf.DUMMYFUNCTION("""COMPUTED_VALUE"""),5.0)</f>
        <v>5</v>
      </c>
      <c r="AD7" s="1">
        <f>IFERROR(__xludf.DUMMYFUNCTION("""COMPUTED_VALUE"""),5.0)</f>
        <v>5</v>
      </c>
      <c r="AE7" s="1">
        <f>IFERROR(__xludf.DUMMYFUNCTION("""COMPUTED_VALUE"""),5.0)</f>
        <v>5</v>
      </c>
      <c r="AF7" s="1">
        <f>IFERROR(__xludf.DUMMYFUNCTION("""COMPUTED_VALUE"""),7.0)</f>
        <v>7</v>
      </c>
      <c r="AG7" s="1">
        <f>IFERROR(__xludf.DUMMYFUNCTION("""COMPUTED_VALUE"""),7.0)</f>
        <v>7</v>
      </c>
      <c r="AH7" s="1"/>
      <c r="AI7" s="1">
        <f>IFERROR(__xludf.DUMMYFUNCTION("""COMPUTED_VALUE"""),5.0)</f>
        <v>5</v>
      </c>
      <c r="AJ7" s="5">
        <f>IFERROR(__xludf.DUMMYFUNCTION("""COMPUTED_VALUE"""),0.0)</f>
        <v>0</v>
      </c>
      <c r="AK7" s="1">
        <f>IFERROR(__xludf.DUMMYFUNCTION("""COMPUTED_VALUE"""),12.667)</f>
        <v>12.667</v>
      </c>
      <c r="AL7" s="1">
        <f>IFERROR(__xludf.DUMMYFUNCTION("""COMPUTED_VALUE"""),3.0)</f>
        <v>3</v>
      </c>
      <c r="AM7" s="1">
        <f>IFERROR(__xludf.DUMMYFUNCTION("""COMPUTED_VALUE"""),1.75)</f>
        <v>1.75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>
      <c r="A8" s="1">
        <f>IFERROR(__xludf.DUMMYFUNCTION("""COMPUTED_VALUE"""),5.0)</f>
        <v>5</v>
      </c>
      <c r="B8" s="1" t="str">
        <f>IFERROR(__xludf.DUMMYFUNCTION("""COMPUTED_VALUE"""),"1000057486")</f>
        <v>1000057486</v>
      </c>
      <c r="C8" s="1" t="str">
        <f>IFERROR(__xludf.DUMMYFUNCTION("""COMPUTED_VALUE"""),"Tasnia Afrin")</f>
        <v>Tasnia Afrin</v>
      </c>
      <c r="D8" s="1" t="str">
        <f>IFERROR(__xludf.DUMMYFUNCTION("""COMPUTED_VALUE"""),"tasnia.afrin@g.bracu.ac.bd")</f>
        <v>tasnia.afrin@g.bracu.ac.bd</v>
      </c>
      <c r="E8" s="1" t="b">
        <f>IFERROR(__xludf.DUMMYFUNCTION("""COMPUTED_VALUE"""),TRUE)</f>
        <v>1</v>
      </c>
      <c r="F8" s="1">
        <f>IFERROR(__xludf.DUMMYFUNCTION("""COMPUTED_VALUE"""),1.0)</f>
        <v>1</v>
      </c>
      <c r="G8" s="1" t="str">
        <f>IFERROR(__xludf.DUMMYFUNCTION("""COMPUTED_VALUE"""),"WARNING")</f>
        <v>WARNING</v>
      </c>
      <c r="H8" s="1">
        <f>IFERROR(__xludf.DUMMYFUNCTION("""COMPUTED_VALUE"""),1.0)</f>
        <v>1</v>
      </c>
      <c r="I8" s="1">
        <f>IFERROR(__xludf.DUMMYFUNCTION("""COMPUTED_VALUE"""),1.0)</f>
        <v>1</v>
      </c>
      <c r="J8" s="1">
        <f>IFERROR(__xludf.DUMMYFUNCTION("""COMPUTED_VALUE"""),1.0)</f>
        <v>1</v>
      </c>
      <c r="K8" s="1">
        <f>IFERROR(__xludf.DUMMYFUNCTION("""COMPUTED_VALUE"""),1.0)</f>
        <v>1</v>
      </c>
      <c r="L8" s="1">
        <f>IFERROR(__xludf.DUMMYFUNCTION("""COMPUTED_VALUE"""),1.0)</f>
        <v>1</v>
      </c>
      <c r="M8" s="1">
        <f>IFERROR(__xludf.DUMMYFUNCTION("""COMPUTED_VALUE"""),0.0)</f>
        <v>0</v>
      </c>
      <c r="N8" s="1">
        <f>IFERROR(__xludf.DUMMYFUNCTION("""COMPUTED_VALUE"""),1.0)</f>
        <v>1</v>
      </c>
      <c r="O8" s="1">
        <f>IFERROR(__xludf.DUMMYFUNCTION("""COMPUTED_VALUE"""),1.0)</f>
        <v>1</v>
      </c>
      <c r="P8" s="1"/>
      <c r="Q8" s="1">
        <f>IFERROR(__xludf.DUMMYFUNCTION("""COMPUTED_VALUE"""),5.0)</f>
        <v>5</v>
      </c>
      <c r="R8" s="1"/>
      <c r="S8" s="1"/>
      <c r="T8" s="1"/>
      <c r="U8" s="1"/>
      <c r="V8" s="1"/>
      <c r="W8" s="1"/>
      <c r="X8" s="1">
        <f>IFERROR(__xludf.DUMMYFUNCTION("""COMPUTED_VALUE"""),5.0)</f>
        <v>5</v>
      </c>
      <c r="Y8" s="1">
        <f>IFERROR(__xludf.DUMMYFUNCTION("""COMPUTED_VALUE"""),5.0)</f>
        <v>5</v>
      </c>
      <c r="Z8" s="1">
        <f>IFERROR(__xludf.DUMMYFUNCTION("""COMPUTED_VALUE"""),5.0)</f>
        <v>5</v>
      </c>
      <c r="AA8" s="1">
        <f>IFERROR(__xludf.DUMMYFUNCTION("""COMPUTED_VALUE"""),5.0)</f>
        <v>5</v>
      </c>
      <c r="AB8" s="1">
        <f>IFERROR(__xludf.DUMMYFUNCTION("""COMPUTED_VALUE"""),5.0)</f>
        <v>5</v>
      </c>
      <c r="AC8" s="1">
        <f>IFERROR(__xludf.DUMMYFUNCTION("""COMPUTED_VALUE"""),5.0)</f>
        <v>5</v>
      </c>
      <c r="AD8" s="1">
        <f>IFERROR(__xludf.DUMMYFUNCTION("""COMPUTED_VALUE"""),5.0)</f>
        <v>5</v>
      </c>
      <c r="AE8" s="1">
        <f>IFERROR(__xludf.DUMMYFUNCTION("""COMPUTED_VALUE"""),5.0)</f>
        <v>5</v>
      </c>
      <c r="AF8" s="1">
        <f>IFERROR(__xludf.DUMMYFUNCTION("""COMPUTED_VALUE"""),7.5)</f>
        <v>7.5</v>
      </c>
      <c r="AG8" s="1">
        <f>IFERROR(__xludf.DUMMYFUNCTION("""COMPUTED_VALUE"""),9.5)</f>
        <v>9.5</v>
      </c>
      <c r="AH8" s="1">
        <f>IFERROR(__xludf.DUMMYFUNCTION("""COMPUTED_VALUE"""),6.6)</f>
        <v>6.6</v>
      </c>
      <c r="AI8" s="1">
        <f>IFERROR(__xludf.DUMMYFUNCTION("""COMPUTED_VALUE"""),7.0)</f>
        <v>7</v>
      </c>
      <c r="AJ8" s="5">
        <f>IFERROR(__xludf.DUMMYFUNCTION("""COMPUTED_VALUE"""),0.0)</f>
        <v>0</v>
      </c>
      <c r="AK8" s="1">
        <f>IFERROR(__xludf.DUMMYFUNCTION("""COMPUTED_VALUE"""),16.0)</f>
        <v>16</v>
      </c>
      <c r="AL8" s="1">
        <f>IFERROR(__xludf.DUMMYFUNCTION("""COMPUTED_VALUE"""),1.5)</f>
        <v>1.5</v>
      </c>
      <c r="AM8" s="1">
        <f>IFERROR(__xludf.DUMMYFUNCTION("""COMPUTED_VALUE"""),2.0)</f>
        <v>2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>
      <c r="A9" s="1">
        <f>IFERROR(__xludf.DUMMYFUNCTION("""COMPUTED_VALUE"""),6.0)</f>
        <v>6</v>
      </c>
      <c r="B9" s="1" t="str">
        <f>IFERROR(__xludf.DUMMYFUNCTION("""COMPUTED_VALUE"""),"1000057499")</f>
        <v>1000057499</v>
      </c>
      <c r="C9" s="1" t="str">
        <f>IFERROR(__xludf.DUMMYFUNCTION("""COMPUTED_VALUE"""),"Md. Samiul Haque")</f>
        <v>Md. Samiul Haque</v>
      </c>
      <c r="D9" s="1" t="str">
        <f>IFERROR(__xludf.DUMMYFUNCTION("""COMPUTED_VALUE"""),"md.samiul.haque4@g.bracu.ac.bd")</f>
        <v>md.samiul.haque4@g.bracu.ac.bd</v>
      </c>
      <c r="E9" s="1" t="b">
        <f>IFERROR(__xludf.DUMMYFUNCTION("""COMPUTED_VALUE"""),TRUE)</f>
        <v>1</v>
      </c>
      <c r="F9" s="1">
        <f>IFERROR(__xludf.DUMMYFUNCTION("""COMPUTED_VALUE"""),0.0)</f>
        <v>0</v>
      </c>
      <c r="G9" s="1" t="str">
        <f>IFERROR(__xludf.DUMMYFUNCTION("""COMPUTED_VALUE"""),"OKAY")</f>
        <v>OKAY</v>
      </c>
      <c r="H9" s="1">
        <f>IFERROR(__xludf.DUMMYFUNCTION("""COMPUTED_VALUE"""),1.0)</f>
        <v>1</v>
      </c>
      <c r="I9" s="1">
        <f>IFERROR(__xludf.DUMMYFUNCTION("""COMPUTED_VALUE"""),1.0)</f>
        <v>1</v>
      </c>
      <c r="J9" s="1">
        <f>IFERROR(__xludf.DUMMYFUNCTION("""COMPUTED_VALUE"""),1.0)</f>
        <v>1</v>
      </c>
      <c r="K9" s="1">
        <f>IFERROR(__xludf.DUMMYFUNCTION("""COMPUTED_VALUE"""),1.0)</f>
        <v>1</v>
      </c>
      <c r="L9" s="1">
        <f>IFERROR(__xludf.DUMMYFUNCTION("""COMPUTED_VALUE"""),1.0)</f>
        <v>1</v>
      </c>
      <c r="M9" s="1">
        <f>IFERROR(__xludf.DUMMYFUNCTION("""COMPUTED_VALUE"""),1.0)</f>
        <v>1</v>
      </c>
      <c r="N9" s="1">
        <f>IFERROR(__xludf.DUMMYFUNCTION("""COMPUTED_VALUE"""),1.0)</f>
        <v>1</v>
      </c>
      <c r="O9" s="1">
        <f>IFERROR(__xludf.DUMMYFUNCTION("""COMPUTED_VALUE"""),1.0)</f>
        <v>1</v>
      </c>
      <c r="P9" s="1"/>
      <c r="Q9" s="1">
        <f>IFERROR(__xludf.DUMMYFUNCTION("""COMPUTED_VALUE"""),5.0)</f>
        <v>5</v>
      </c>
      <c r="R9" s="1"/>
      <c r="S9" s="1"/>
      <c r="T9" s="1"/>
      <c r="U9" s="1">
        <f>IFERROR(__xludf.DUMMYFUNCTION("""COMPUTED_VALUE"""),5.0)</f>
        <v>5</v>
      </c>
      <c r="V9" s="1"/>
      <c r="W9" s="1"/>
      <c r="X9" s="1">
        <f>IFERROR(__xludf.DUMMYFUNCTION("""COMPUTED_VALUE"""),5.0)</f>
        <v>5</v>
      </c>
      <c r="Y9" s="1">
        <f>IFERROR(__xludf.DUMMYFUNCTION("""COMPUTED_VALUE"""),5.0)</f>
        <v>5</v>
      </c>
      <c r="Z9" s="1">
        <f>IFERROR(__xludf.DUMMYFUNCTION("""COMPUTED_VALUE"""),5.0)</f>
        <v>5</v>
      </c>
      <c r="AA9" s="1">
        <f>IFERROR(__xludf.DUMMYFUNCTION("""COMPUTED_VALUE"""),5.0)</f>
        <v>5</v>
      </c>
      <c r="AB9" s="1">
        <f>IFERROR(__xludf.DUMMYFUNCTION("""COMPUTED_VALUE"""),5.0)</f>
        <v>5</v>
      </c>
      <c r="AC9" s="1">
        <f>IFERROR(__xludf.DUMMYFUNCTION("""COMPUTED_VALUE"""),5.0)</f>
        <v>5</v>
      </c>
      <c r="AD9" s="1">
        <f>IFERROR(__xludf.DUMMYFUNCTION("""COMPUTED_VALUE"""),5.0)</f>
        <v>5</v>
      </c>
      <c r="AE9" s="1">
        <f>IFERROR(__xludf.DUMMYFUNCTION("""COMPUTED_VALUE"""),5.0)</f>
        <v>5</v>
      </c>
      <c r="AF9" s="1">
        <f>IFERROR(__xludf.DUMMYFUNCTION("""COMPUTED_VALUE"""),9.0)</f>
        <v>9</v>
      </c>
      <c r="AG9" s="1">
        <f>IFERROR(__xludf.DUMMYFUNCTION("""COMPUTED_VALUE"""),10.0)</f>
        <v>10</v>
      </c>
      <c r="AH9" s="1">
        <f>IFERROR(__xludf.DUMMYFUNCTION("""COMPUTED_VALUE"""),9.4)</f>
        <v>9.4</v>
      </c>
      <c r="AI9" s="1">
        <f>IFERROR(__xludf.DUMMYFUNCTION("""COMPUTED_VALUE"""),6.0)</f>
        <v>6</v>
      </c>
      <c r="AJ9" s="5">
        <f>IFERROR(__xludf.DUMMYFUNCTION("""COMPUTED_VALUE"""),0.0)</f>
        <v>0</v>
      </c>
      <c r="AK9" s="1">
        <f>IFERROR(__xludf.DUMMYFUNCTION("""COMPUTED_VALUE"""),18.934)</f>
        <v>18.934</v>
      </c>
      <c r="AL9" s="1">
        <f>IFERROR(__xludf.DUMMYFUNCTION("""COMPUTED_VALUE"""),3.0)</f>
        <v>3</v>
      </c>
      <c r="AM9" s="1">
        <f>IFERROR(__xludf.DUMMYFUNCTION("""COMPUTED_VALUE"""),2.0)</f>
        <v>2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>
      <c r="A10" s="1">
        <f>IFERROR(__xludf.DUMMYFUNCTION("""COMPUTED_VALUE"""),7.0)</f>
        <v>7</v>
      </c>
      <c r="B10" s="1" t="str">
        <f>IFERROR(__xludf.DUMMYFUNCTION("""COMPUTED_VALUE"""),"1000057533")</f>
        <v>1000057533</v>
      </c>
      <c r="C10" s="1" t="str">
        <f>IFERROR(__xludf.DUMMYFUNCTION("""COMPUTED_VALUE"""),"Ayman Johan")</f>
        <v>Ayman Johan</v>
      </c>
      <c r="D10" s="1" t="str">
        <f>IFERROR(__xludf.DUMMYFUNCTION("""COMPUTED_VALUE"""),"ayman.johan@g.bracu.ac.bd")</f>
        <v>ayman.johan@g.bracu.ac.bd</v>
      </c>
      <c r="E10" s="1" t="b">
        <f>IFERROR(__xludf.DUMMYFUNCTION("""COMPUTED_VALUE"""),TRUE)</f>
        <v>1</v>
      </c>
      <c r="F10" s="1">
        <f>IFERROR(__xludf.DUMMYFUNCTION("""COMPUTED_VALUE"""),0.0)</f>
        <v>0</v>
      </c>
      <c r="G10" s="1" t="str">
        <f>IFERROR(__xludf.DUMMYFUNCTION("""COMPUTED_VALUE"""),"OKAY")</f>
        <v>OKAY</v>
      </c>
      <c r="H10" s="1">
        <f>IFERROR(__xludf.DUMMYFUNCTION("""COMPUTED_VALUE"""),0.0)</f>
        <v>0</v>
      </c>
      <c r="I10" s="1">
        <f>IFERROR(__xludf.DUMMYFUNCTION("""COMPUTED_VALUE"""),1.0)</f>
        <v>1</v>
      </c>
      <c r="J10" s="1">
        <f>IFERROR(__xludf.DUMMYFUNCTION("""COMPUTED_VALUE"""),1.0)</f>
        <v>1</v>
      </c>
      <c r="K10" s="1">
        <f>IFERROR(__xludf.DUMMYFUNCTION("""COMPUTED_VALUE"""),1.0)</f>
        <v>1</v>
      </c>
      <c r="L10" s="1">
        <f>IFERROR(__xludf.DUMMYFUNCTION("""COMPUTED_VALUE"""),1.0)</f>
        <v>1</v>
      </c>
      <c r="M10" s="1">
        <f>IFERROR(__xludf.DUMMYFUNCTION("""COMPUTED_VALUE"""),1.0)</f>
        <v>1</v>
      </c>
      <c r="N10" s="1">
        <f>IFERROR(__xludf.DUMMYFUNCTION("""COMPUTED_VALUE"""),1.0)</f>
        <v>1</v>
      </c>
      <c r="O10" s="1">
        <f>IFERROR(__xludf.DUMMYFUNCTION("""COMPUTED_VALUE"""),1.0)</f>
        <v>1</v>
      </c>
      <c r="P10" s="1"/>
      <c r="Q10" s="1">
        <f>IFERROR(__xludf.DUMMYFUNCTION("""COMPUTED_VALUE"""),5.0)</f>
        <v>5</v>
      </c>
      <c r="R10" s="1"/>
      <c r="S10" s="1"/>
      <c r="T10" s="1"/>
      <c r="U10" s="1">
        <f>IFERROR(__xludf.DUMMYFUNCTION("""COMPUTED_VALUE"""),5.0)</f>
        <v>5</v>
      </c>
      <c r="V10" s="1"/>
      <c r="W10" s="1"/>
      <c r="X10" s="1">
        <f>IFERROR(__xludf.DUMMYFUNCTION("""COMPUTED_VALUE"""),1.0)</f>
        <v>1</v>
      </c>
      <c r="Y10" s="1">
        <f>IFERROR(__xludf.DUMMYFUNCTION("""COMPUTED_VALUE"""),3.0)</f>
        <v>3</v>
      </c>
      <c r="Z10" s="1"/>
      <c r="AA10" s="1">
        <f>IFERROR(__xludf.DUMMYFUNCTION("""COMPUTED_VALUE"""),1.0)</f>
        <v>1</v>
      </c>
      <c r="AB10" s="1">
        <f>IFERROR(__xludf.DUMMYFUNCTION("""COMPUTED_VALUE"""),5.0)</f>
        <v>5</v>
      </c>
      <c r="AC10" s="1">
        <f>IFERROR(__xludf.DUMMYFUNCTION("""COMPUTED_VALUE"""),5.0)</f>
        <v>5</v>
      </c>
      <c r="AD10" s="1">
        <f>IFERROR(__xludf.DUMMYFUNCTION("""COMPUTED_VALUE"""),5.0)</f>
        <v>5</v>
      </c>
      <c r="AE10" s="1">
        <f>IFERROR(__xludf.DUMMYFUNCTION("""COMPUTED_VALUE"""),5.0)</f>
        <v>5</v>
      </c>
      <c r="AF10" s="1">
        <f>IFERROR(__xludf.DUMMYFUNCTION("""COMPUTED_VALUE"""),7.0)</f>
        <v>7</v>
      </c>
      <c r="AG10" s="1">
        <f>IFERROR(__xludf.DUMMYFUNCTION("""COMPUTED_VALUE"""),7.5)</f>
        <v>7.5</v>
      </c>
      <c r="AH10" s="1">
        <f>IFERROR(__xludf.DUMMYFUNCTION("""COMPUTED_VALUE"""),6.65)</f>
        <v>6.65</v>
      </c>
      <c r="AI10" s="1">
        <f>IFERROR(__xludf.DUMMYFUNCTION("""COMPUTED_VALUE"""),3.0)</f>
        <v>3</v>
      </c>
      <c r="AJ10" s="5">
        <f>IFERROR(__xludf.DUMMYFUNCTION("""COMPUTED_VALUE"""),0.0)</f>
        <v>0</v>
      </c>
      <c r="AK10" s="1">
        <f>IFERROR(__xludf.DUMMYFUNCTION("""COMPUTED_VALUE"""),14.1)</f>
        <v>14.1</v>
      </c>
      <c r="AL10" s="1">
        <f>IFERROR(__xludf.DUMMYFUNCTION("""COMPUTED_VALUE"""),3.0)</f>
        <v>3</v>
      </c>
      <c r="AM10" s="1">
        <f>IFERROR(__xludf.DUMMYFUNCTION("""COMPUTED_VALUE"""),1.25)</f>
        <v>1.25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>
      <c r="A11" s="1">
        <f>IFERROR(__xludf.DUMMYFUNCTION("""COMPUTED_VALUE"""),8.0)</f>
        <v>8</v>
      </c>
      <c r="B11" s="1" t="str">
        <f>IFERROR(__xludf.DUMMYFUNCTION("""COMPUTED_VALUE"""),"1000057546")</f>
        <v>1000057546</v>
      </c>
      <c r="C11" s="1" t="str">
        <f>IFERROR(__xludf.DUMMYFUNCTION("""COMPUTED_VALUE"""),"Md.Shahnewaz")</f>
        <v>Md.Shahnewaz</v>
      </c>
      <c r="D11" s="1" t="str">
        <f>IFERROR(__xludf.DUMMYFUNCTION("""COMPUTED_VALUE"""),"shah.newaz@g.bracu.ac.bd")</f>
        <v>shah.newaz@g.bracu.ac.bd</v>
      </c>
      <c r="E11" s="1" t="b">
        <f>IFERROR(__xludf.DUMMYFUNCTION("""COMPUTED_VALUE"""),TRUE)</f>
        <v>1</v>
      </c>
      <c r="F11" s="1">
        <f>IFERROR(__xludf.DUMMYFUNCTION("""COMPUTED_VALUE"""),0.0)</f>
        <v>0</v>
      </c>
      <c r="G11" s="1" t="str">
        <f>IFERROR(__xludf.DUMMYFUNCTION("""COMPUTED_VALUE"""),"OKAY")</f>
        <v>OKAY</v>
      </c>
      <c r="H11" s="1">
        <f>IFERROR(__xludf.DUMMYFUNCTION("""COMPUTED_VALUE"""),1.0)</f>
        <v>1</v>
      </c>
      <c r="I11" s="1">
        <f>IFERROR(__xludf.DUMMYFUNCTION("""COMPUTED_VALUE"""),1.0)</f>
        <v>1</v>
      </c>
      <c r="J11" s="1">
        <f>IFERROR(__xludf.DUMMYFUNCTION("""COMPUTED_VALUE"""),1.0)</f>
        <v>1</v>
      </c>
      <c r="K11" s="1">
        <f>IFERROR(__xludf.DUMMYFUNCTION("""COMPUTED_VALUE"""),1.0)</f>
        <v>1</v>
      </c>
      <c r="L11" s="1">
        <f>IFERROR(__xludf.DUMMYFUNCTION("""COMPUTED_VALUE"""),1.0)</f>
        <v>1</v>
      </c>
      <c r="M11" s="1">
        <f>IFERROR(__xludf.DUMMYFUNCTION("""COMPUTED_VALUE"""),1.0)</f>
        <v>1</v>
      </c>
      <c r="N11" s="1">
        <f>IFERROR(__xludf.DUMMYFUNCTION("""COMPUTED_VALUE"""),1.0)</f>
        <v>1</v>
      </c>
      <c r="O11" s="1">
        <f>IFERROR(__xludf.DUMMYFUNCTION("""COMPUTED_VALUE"""),1.0)</f>
        <v>1</v>
      </c>
      <c r="P11" s="1"/>
      <c r="Q11" s="1">
        <f>IFERROR(__xludf.DUMMYFUNCTION("""COMPUTED_VALUE"""),5.0)</f>
        <v>5</v>
      </c>
      <c r="R11" s="1"/>
      <c r="S11" s="1"/>
      <c r="T11" s="1"/>
      <c r="U11" s="1">
        <f>IFERROR(__xludf.DUMMYFUNCTION("""COMPUTED_VALUE"""),5.0)</f>
        <v>5</v>
      </c>
      <c r="V11" s="1"/>
      <c r="W11" s="1"/>
      <c r="X11" s="1">
        <f>IFERROR(__xludf.DUMMYFUNCTION("""COMPUTED_VALUE"""),5.0)</f>
        <v>5</v>
      </c>
      <c r="Y11" s="1">
        <f>IFERROR(__xludf.DUMMYFUNCTION("""COMPUTED_VALUE"""),5.0)</f>
        <v>5</v>
      </c>
      <c r="Z11" s="1">
        <f>IFERROR(__xludf.DUMMYFUNCTION("""COMPUTED_VALUE"""),5.0)</f>
        <v>5</v>
      </c>
      <c r="AA11" s="1">
        <f>IFERROR(__xludf.DUMMYFUNCTION("""COMPUTED_VALUE"""),5.0)</f>
        <v>5</v>
      </c>
      <c r="AB11" s="1">
        <f>IFERROR(__xludf.DUMMYFUNCTION("""COMPUTED_VALUE"""),5.0)</f>
        <v>5</v>
      </c>
      <c r="AC11" s="1">
        <f>IFERROR(__xludf.DUMMYFUNCTION("""COMPUTED_VALUE"""),5.0)</f>
        <v>5</v>
      </c>
      <c r="AD11" s="1">
        <f>IFERROR(__xludf.DUMMYFUNCTION("""COMPUTED_VALUE"""),5.0)</f>
        <v>5</v>
      </c>
      <c r="AE11" s="1">
        <f>IFERROR(__xludf.DUMMYFUNCTION("""COMPUTED_VALUE"""),5.0)</f>
        <v>5</v>
      </c>
      <c r="AF11" s="1">
        <f>IFERROR(__xludf.DUMMYFUNCTION("""COMPUTED_VALUE"""),7.0)</f>
        <v>7</v>
      </c>
      <c r="AG11" s="1">
        <f>IFERROR(__xludf.DUMMYFUNCTION("""COMPUTED_VALUE"""),6.5)</f>
        <v>6.5</v>
      </c>
      <c r="AH11" s="1">
        <f>IFERROR(__xludf.DUMMYFUNCTION("""COMPUTED_VALUE"""),7.5)</f>
        <v>7.5</v>
      </c>
      <c r="AI11" s="1">
        <f>IFERROR(__xludf.DUMMYFUNCTION("""COMPUTED_VALUE"""),7.0)</f>
        <v>7</v>
      </c>
      <c r="AJ11" s="5">
        <f>IFERROR(__xludf.DUMMYFUNCTION("""COMPUTED_VALUE"""),0.0)</f>
        <v>0</v>
      </c>
      <c r="AK11" s="1">
        <f>IFERROR(__xludf.DUMMYFUNCTION("""COMPUTED_VALUE"""),14.334)</f>
        <v>14.334</v>
      </c>
      <c r="AL11" s="1">
        <f>IFERROR(__xludf.DUMMYFUNCTION("""COMPUTED_VALUE"""),3.0)</f>
        <v>3</v>
      </c>
      <c r="AM11" s="1">
        <f>IFERROR(__xludf.DUMMYFUNCTION("""COMPUTED_VALUE"""),2.0)</f>
        <v>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>
      <c r="A12" s="1">
        <f>IFERROR(__xludf.DUMMYFUNCTION("""COMPUTED_VALUE"""),9.0)</f>
        <v>9</v>
      </c>
      <c r="B12" s="1" t="str">
        <f>IFERROR(__xludf.DUMMYFUNCTION("""COMPUTED_VALUE"""),"1000057569")</f>
        <v>1000057569</v>
      </c>
      <c r="C12" s="1" t="str">
        <f>IFERROR(__xludf.DUMMYFUNCTION("""COMPUTED_VALUE"""),"Sumaia Afrin Tithi")</f>
        <v>Sumaia Afrin Tithi</v>
      </c>
      <c r="D12" s="1" t="str">
        <f>IFERROR(__xludf.DUMMYFUNCTION("""COMPUTED_VALUE"""),"sumaia.afrin.tithi@g.bracu.ac.bd")</f>
        <v>sumaia.afrin.tithi@g.bracu.ac.bd</v>
      </c>
      <c r="E12" s="1" t="b">
        <f>IFERROR(__xludf.DUMMYFUNCTION("""COMPUTED_VALUE"""),TRUE)</f>
        <v>1</v>
      </c>
      <c r="F12" s="1">
        <f>IFERROR(__xludf.DUMMYFUNCTION("""COMPUTED_VALUE"""),0.0)</f>
        <v>0</v>
      </c>
      <c r="G12" s="1" t="str">
        <f>IFERROR(__xludf.DUMMYFUNCTION("""COMPUTED_VALUE"""),"OKAY")</f>
        <v>OKAY</v>
      </c>
      <c r="H12" s="1">
        <f>IFERROR(__xludf.DUMMYFUNCTION("""COMPUTED_VALUE"""),0.0)</f>
        <v>0</v>
      </c>
      <c r="I12" s="1">
        <f>IFERROR(__xludf.DUMMYFUNCTION("""COMPUTED_VALUE"""),1.0)</f>
        <v>1</v>
      </c>
      <c r="J12" s="1">
        <f>IFERROR(__xludf.DUMMYFUNCTION("""COMPUTED_VALUE"""),1.0)</f>
        <v>1</v>
      </c>
      <c r="K12" s="1">
        <f>IFERROR(__xludf.DUMMYFUNCTION("""COMPUTED_VALUE"""),1.0)</f>
        <v>1</v>
      </c>
      <c r="L12" s="1">
        <f>IFERROR(__xludf.DUMMYFUNCTION("""COMPUTED_VALUE"""),1.0)</f>
        <v>1</v>
      </c>
      <c r="M12" s="1">
        <f>IFERROR(__xludf.DUMMYFUNCTION("""COMPUTED_VALUE"""),1.0)</f>
        <v>1</v>
      </c>
      <c r="N12" s="1">
        <f>IFERROR(__xludf.DUMMYFUNCTION("""COMPUTED_VALUE"""),1.0)</f>
        <v>1</v>
      </c>
      <c r="O12" s="1">
        <f>IFERROR(__xludf.DUMMYFUNCTION("""COMPUTED_VALUE"""),1.0)</f>
        <v>1</v>
      </c>
      <c r="P12" s="1"/>
      <c r="Q12" s="1">
        <f>IFERROR(__xludf.DUMMYFUNCTION("""COMPUTED_VALUE"""),5.0)</f>
        <v>5</v>
      </c>
      <c r="R12" s="1"/>
      <c r="S12" s="1"/>
      <c r="T12" s="1"/>
      <c r="U12" s="1"/>
      <c r="V12" s="1"/>
      <c r="W12" s="1"/>
      <c r="X12" s="1">
        <f>IFERROR(__xludf.DUMMYFUNCTION("""COMPUTED_VALUE"""),5.0)</f>
        <v>5</v>
      </c>
      <c r="Y12" s="1">
        <f>IFERROR(__xludf.DUMMYFUNCTION("""COMPUTED_VALUE"""),5.0)</f>
        <v>5</v>
      </c>
      <c r="Z12" s="1">
        <f>IFERROR(__xludf.DUMMYFUNCTION("""COMPUTED_VALUE"""),5.0)</f>
        <v>5</v>
      </c>
      <c r="AA12" s="1">
        <f>IFERROR(__xludf.DUMMYFUNCTION("""COMPUTED_VALUE"""),1.0)</f>
        <v>1</v>
      </c>
      <c r="AB12" s="1">
        <f>IFERROR(__xludf.DUMMYFUNCTION("""COMPUTED_VALUE"""),1.0)</f>
        <v>1</v>
      </c>
      <c r="AC12" s="1">
        <f>IFERROR(__xludf.DUMMYFUNCTION("""COMPUTED_VALUE"""),5.0)</f>
        <v>5</v>
      </c>
      <c r="AD12" s="1">
        <f>IFERROR(__xludf.DUMMYFUNCTION("""COMPUTED_VALUE"""),5.0)</f>
        <v>5</v>
      </c>
      <c r="AE12" s="1">
        <f>IFERROR(__xludf.DUMMYFUNCTION("""COMPUTED_VALUE"""),5.0)</f>
        <v>5</v>
      </c>
      <c r="AF12" s="1">
        <f>IFERROR(__xludf.DUMMYFUNCTION("""COMPUTED_VALUE"""),4.4)</f>
        <v>4.4</v>
      </c>
      <c r="AG12" s="1">
        <f>IFERROR(__xludf.DUMMYFUNCTION("""COMPUTED_VALUE"""),3.5)</f>
        <v>3.5</v>
      </c>
      <c r="AH12" s="1">
        <f>IFERROR(__xludf.DUMMYFUNCTION("""COMPUTED_VALUE"""),3.25)</f>
        <v>3.25</v>
      </c>
      <c r="AI12" s="1">
        <f>IFERROR(__xludf.DUMMYFUNCTION("""COMPUTED_VALUE"""),1.0)</f>
        <v>1</v>
      </c>
      <c r="AJ12" s="5">
        <f>IFERROR(__xludf.DUMMYFUNCTION("""COMPUTED_VALUE"""),0.0)</f>
        <v>0</v>
      </c>
      <c r="AK12" s="1">
        <f>IFERROR(__xludf.DUMMYFUNCTION("""COMPUTED_VALUE"""),7.434)</f>
        <v>7.434</v>
      </c>
      <c r="AL12" s="1">
        <f>IFERROR(__xludf.DUMMYFUNCTION("""COMPUTED_VALUE"""),1.5)</f>
        <v>1.5</v>
      </c>
      <c r="AM12" s="1">
        <f>IFERROR(__xludf.DUMMYFUNCTION("""COMPUTED_VALUE"""),1.6)</f>
        <v>1.6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>
      <c r="A13" s="1">
        <f>IFERROR(__xludf.DUMMYFUNCTION("""COMPUTED_VALUE"""),10.0)</f>
        <v>10</v>
      </c>
      <c r="B13" s="1" t="str">
        <f>IFERROR(__xludf.DUMMYFUNCTION("""COMPUTED_VALUE"""),"1000057574")</f>
        <v>1000057574</v>
      </c>
      <c r="C13" s="1" t="str">
        <f>IFERROR(__xludf.DUMMYFUNCTION("""COMPUTED_VALUE"""),"M Salib")</f>
        <v>M Salib</v>
      </c>
      <c r="D13" s="1" t="str">
        <f>IFERROR(__xludf.DUMMYFUNCTION("""COMPUTED_VALUE"""),"marfin.salib@g.bracu.ac.bd")</f>
        <v>marfin.salib@g.bracu.ac.bd</v>
      </c>
      <c r="E13" s="1" t="b">
        <f>IFERROR(__xludf.DUMMYFUNCTION("""COMPUTED_VALUE"""),TRUE)</f>
        <v>1</v>
      </c>
      <c r="F13" s="1">
        <f>IFERROR(__xludf.DUMMYFUNCTION("""COMPUTED_VALUE"""),0.0)</f>
        <v>0</v>
      </c>
      <c r="G13" s="1" t="str">
        <f>IFERROR(__xludf.DUMMYFUNCTION("""COMPUTED_VALUE"""),"OKAY")</f>
        <v>OKAY</v>
      </c>
      <c r="H13" s="1">
        <f>IFERROR(__xludf.DUMMYFUNCTION("""COMPUTED_VALUE"""),1.0)</f>
        <v>1</v>
      </c>
      <c r="I13" s="1">
        <f>IFERROR(__xludf.DUMMYFUNCTION("""COMPUTED_VALUE"""),1.0)</f>
        <v>1</v>
      </c>
      <c r="J13" s="1">
        <f>IFERROR(__xludf.DUMMYFUNCTION("""COMPUTED_VALUE"""),1.0)</f>
        <v>1</v>
      </c>
      <c r="K13" s="1">
        <f>IFERROR(__xludf.DUMMYFUNCTION("""COMPUTED_VALUE"""),1.0)</f>
        <v>1</v>
      </c>
      <c r="L13" s="1">
        <f>IFERROR(__xludf.DUMMYFUNCTION("""COMPUTED_VALUE"""),1.0)</f>
        <v>1</v>
      </c>
      <c r="M13" s="1">
        <f>IFERROR(__xludf.DUMMYFUNCTION("""COMPUTED_VALUE"""),1.0)</f>
        <v>1</v>
      </c>
      <c r="N13" s="1">
        <f>IFERROR(__xludf.DUMMYFUNCTION("""COMPUTED_VALUE"""),1.0)</f>
        <v>1</v>
      </c>
      <c r="O13" s="1">
        <f>IFERROR(__xludf.DUMMYFUNCTION("""COMPUTED_VALUE"""),1.0)</f>
        <v>1</v>
      </c>
      <c r="P13" s="1"/>
      <c r="Q13" s="1">
        <f>IFERROR(__xludf.DUMMYFUNCTION("""COMPUTED_VALUE"""),5.0)</f>
        <v>5</v>
      </c>
      <c r="R13" s="1"/>
      <c r="S13" s="1"/>
      <c r="T13" s="1"/>
      <c r="U13" s="1">
        <f>IFERROR(__xludf.DUMMYFUNCTION("""COMPUTED_VALUE"""),5.0)</f>
        <v>5</v>
      </c>
      <c r="V13" s="1"/>
      <c r="W13" s="1"/>
      <c r="X13" s="1">
        <f>IFERROR(__xludf.DUMMYFUNCTION("""COMPUTED_VALUE"""),1.0)</f>
        <v>1</v>
      </c>
      <c r="Y13" s="1">
        <f>IFERROR(__xludf.DUMMYFUNCTION("""COMPUTED_VALUE"""),1.0)</f>
        <v>1</v>
      </c>
      <c r="Z13" s="1">
        <f>IFERROR(__xludf.DUMMYFUNCTION("""COMPUTED_VALUE"""),5.0)</f>
        <v>5</v>
      </c>
      <c r="AA13" s="1">
        <f>IFERROR(__xludf.DUMMYFUNCTION("""COMPUTED_VALUE"""),1.0)</f>
        <v>1</v>
      </c>
      <c r="AB13" s="1">
        <f>IFERROR(__xludf.DUMMYFUNCTION("""COMPUTED_VALUE"""),5.0)</f>
        <v>5</v>
      </c>
      <c r="AC13" s="1">
        <f>IFERROR(__xludf.DUMMYFUNCTION("""COMPUTED_VALUE"""),5.0)</f>
        <v>5</v>
      </c>
      <c r="AD13" s="1">
        <f>IFERROR(__xludf.DUMMYFUNCTION("""COMPUTED_VALUE"""),5.0)</f>
        <v>5</v>
      </c>
      <c r="AE13" s="1">
        <f>IFERROR(__xludf.DUMMYFUNCTION("""COMPUTED_VALUE"""),5.0)</f>
        <v>5</v>
      </c>
      <c r="AF13" s="1">
        <f>IFERROR(__xludf.DUMMYFUNCTION("""COMPUTED_VALUE"""),0.5)</f>
        <v>0.5</v>
      </c>
      <c r="AG13" s="1">
        <f>IFERROR(__xludf.DUMMYFUNCTION("""COMPUTED_VALUE"""),2.5)</f>
        <v>2.5</v>
      </c>
      <c r="AH13" s="1">
        <f>IFERROR(__xludf.DUMMYFUNCTION("""COMPUTED_VALUE"""),3.5)</f>
        <v>3.5</v>
      </c>
      <c r="AI13" s="1">
        <f>IFERROR(__xludf.DUMMYFUNCTION("""COMPUTED_VALUE"""),2.0)</f>
        <v>2</v>
      </c>
      <c r="AJ13" s="5">
        <f>IFERROR(__xludf.DUMMYFUNCTION("""COMPUTED_VALUE"""),0.0)</f>
        <v>0</v>
      </c>
      <c r="AK13" s="1">
        <f>IFERROR(__xludf.DUMMYFUNCTION("""COMPUTED_VALUE"""),5.334)</f>
        <v>5.334</v>
      </c>
      <c r="AL13" s="1">
        <f>IFERROR(__xludf.DUMMYFUNCTION("""COMPUTED_VALUE"""),3.0)</f>
        <v>3</v>
      </c>
      <c r="AM13" s="1">
        <f>IFERROR(__xludf.DUMMYFUNCTION("""COMPUTED_VALUE"""),1.4)</f>
        <v>1.4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>
      <c r="A14" s="1">
        <f>IFERROR(__xludf.DUMMYFUNCTION("""COMPUTED_VALUE"""),11.0)</f>
        <v>11</v>
      </c>
      <c r="B14" s="1" t="str">
        <f>IFERROR(__xludf.DUMMYFUNCTION("""COMPUTED_VALUE"""),"1000057597")</f>
        <v>1000057597</v>
      </c>
      <c r="C14" s="1" t="str">
        <f>IFERROR(__xludf.DUMMYFUNCTION("""COMPUTED_VALUE"""),"Prateek Hassan")</f>
        <v>Prateek Hassan</v>
      </c>
      <c r="D14" s="1" t="str">
        <f>IFERROR(__xludf.DUMMYFUNCTION("""COMPUTED_VALUE"""),"prateek.hassan@g.bracu.ac.bd")</f>
        <v>prateek.hassan@g.bracu.ac.bd</v>
      </c>
      <c r="E14" s="1" t="b">
        <f>IFERROR(__xludf.DUMMYFUNCTION("""COMPUTED_VALUE"""),TRUE)</f>
        <v>1</v>
      </c>
      <c r="F14" s="1">
        <f>IFERROR(__xludf.DUMMYFUNCTION("""COMPUTED_VALUE"""),1.0)</f>
        <v>1</v>
      </c>
      <c r="G14" s="1" t="str">
        <f>IFERROR(__xludf.DUMMYFUNCTION("""COMPUTED_VALUE"""),"WARNING")</f>
        <v>WARNING</v>
      </c>
      <c r="H14" s="1">
        <f>IFERROR(__xludf.DUMMYFUNCTION("""COMPUTED_VALUE"""),1.0)</f>
        <v>1</v>
      </c>
      <c r="I14" s="1">
        <f>IFERROR(__xludf.DUMMYFUNCTION("""COMPUTED_VALUE"""),1.0)</f>
        <v>1</v>
      </c>
      <c r="J14" s="1">
        <f>IFERROR(__xludf.DUMMYFUNCTION("""COMPUTED_VALUE"""),1.0)</f>
        <v>1</v>
      </c>
      <c r="K14" s="1" t="str">
        <f>IFERROR(__xludf.DUMMYFUNCTION("""COMPUTED_VALUE"""),"s")</f>
        <v>s</v>
      </c>
      <c r="L14" s="1">
        <f>IFERROR(__xludf.DUMMYFUNCTION("""COMPUTED_VALUE"""),0.0)</f>
        <v>0</v>
      </c>
      <c r="M14" s="1">
        <f>IFERROR(__xludf.DUMMYFUNCTION("""COMPUTED_VALUE"""),1.0)</f>
        <v>1</v>
      </c>
      <c r="N14" s="1">
        <f>IFERROR(__xludf.DUMMYFUNCTION("""COMPUTED_VALUE"""),1.0)</f>
        <v>1</v>
      </c>
      <c r="O14" s="1">
        <f>IFERROR(__xludf.DUMMYFUNCTION("""COMPUTED_VALUE"""),1.0)</f>
        <v>1</v>
      </c>
      <c r="P14" s="1"/>
      <c r="Q14" s="1">
        <f>IFERROR(__xludf.DUMMYFUNCTION("""COMPUTED_VALUE"""),5.0)</f>
        <v>5</v>
      </c>
      <c r="R14" s="1"/>
      <c r="S14" s="1"/>
      <c r="T14" s="1"/>
      <c r="U14" s="1">
        <f>IFERROR(__xludf.DUMMYFUNCTION("""COMPUTED_VALUE"""),4.75)</f>
        <v>4.75</v>
      </c>
      <c r="V14" s="1"/>
      <c r="W14" s="1"/>
      <c r="X14" s="1">
        <f>IFERROR(__xludf.DUMMYFUNCTION("""COMPUTED_VALUE"""),1.0)</f>
        <v>1</v>
      </c>
      <c r="Y14" s="1">
        <f>IFERROR(__xludf.DUMMYFUNCTION("""COMPUTED_VALUE"""),5.0)</f>
        <v>5</v>
      </c>
      <c r="Z14" s="1">
        <f>IFERROR(__xludf.DUMMYFUNCTION("""COMPUTED_VALUE"""),5.0)</f>
        <v>5</v>
      </c>
      <c r="AA14" s="1">
        <f>IFERROR(__xludf.DUMMYFUNCTION("""COMPUTED_VALUE"""),5.0)</f>
        <v>5</v>
      </c>
      <c r="AB14" s="1">
        <f>IFERROR(__xludf.DUMMYFUNCTION("""COMPUTED_VALUE"""),5.0)</f>
        <v>5</v>
      </c>
      <c r="AC14" s="1">
        <f>IFERROR(__xludf.DUMMYFUNCTION("""COMPUTED_VALUE"""),3.0)</f>
        <v>3</v>
      </c>
      <c r="AD14" s="1">
        <f>IFERROR(__xludf.DUMMYFUNCTION("""COMPUTED_VALUE"""),4.0)</f>
        <v>4</v>
      </c>
      <c r="AE14" s="1"/>
      <c r="AF14" s="1">
        <f>IFERROR(__xludf.DUMMYFUNCTION("""COMPUTED_VALUE"""),6.5)</f>
        <v>6.5</v>
      </c>
      <c r="AG14" s="1">
        <f>IFERROR(__xludf.DUMMYFUNCTION("""COMPUTED_VALUE"""),8.0)</f>
        <v>8</v>
      </c>
      <c r="AH14" s="1">
        <f>IFERROR(__xludf.DUMMYFUNCTION("""COMPUTED_VALUE"""),8.0)</f>
        <v>8</v>
      </c>
      <c r="AI14" s="1">
        <f>IFERROR(__xludf.DUMMYFUNCTION("""COMPUTED_VALUE"""),1.0)</f>
        <v>1</v>
      </c>
      <c r="AJ14" s="5">
        <f>IFERROR(__xludf.DUMMYFUNCTION("""COMPUTED_VALUE"""),0.0)</f>
        <v>0</v>
      </c>
      <c r="AK14" s="1">
        <f>IFERROR(__xludf.DUMMYFUNCTION("""COMPUTED_VALUE"""),15.0)</f>
        <v>15</v>
      </c>
      <c r="AL14" s="1">
        <f>IFERROR(__xludf.DUMMYFUNCTION("""COMPUTED_VALUE"""),2.925)</f>
        <v>2.925</v>
      </c>
      <c r="AM14" s="1">
        <f>IFERROR(__xludf.DUMMYFUNCTION("""COMPUTED_VALUE"""),1.4)</f>
        <v>1.4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>
      <c r="A15" s="1">
        <f>IFERROR(__xludf.DUMMYFUNCTION("""COMPUTED_VALUE"""),12.0)</f>
        <v>12</v>
      </c>
      <c r="B15" s="1" t="str">
        <f>IFERROR(__xludf.DUMMYFUNCTION("""COMPUTED_VALUE"""),"1000057603")</f>
        <v>1000057603</v>
      </c>
      <c r="C15" s="1" t="str">
        <f>IFERROR(__xludf.DUMMYFUNCTION("""COMPUTED_VALUE"""),"Raisa Chowdhury")</f>
        <v>Raisa Chowdhury</v>
      </c>
      <c r="D15" s="1" t="str">
        <f>IFERROR(__xludf.DUMMYFUNCTION("""COMPUTED_VALUE"""),"raisa.chowdhury@g.bracu.ac.bd")</f>
        <v>raisa.chowdhury@g.bracu.ac.bd</v>
      </c>
      <c r="E15" s="1" t="b">
        <f>IFERROR(__xludf.DUMMYFUNCTION("""COMPUTED_VALUE"""),TRUE)</f>
        <v>1</v>
      </c>
      <c r="F15" s="1">
        <f>IFERROR(__xludf.DUMMYFUNCTION("""COMPUTED_VALUE"""),0.0)</f>
        <v>0</v>
      </c>
      <c r="G15" s="1" t="str">
        <f>IFERROR(__xludf.DUMMYFUNCTION("""COMPUTED_VALUE"""),"OKAY")</f>
        <v>OKAY</v>
      </c>
      <c r="H15" s="1">
        <f>IFERROR(__xludf.DUMMYFUNCTION("""COMPUTED_VALUE"""),1.0)</f>
        <v>1</v>
      </c>
      <c r="I15" s="1">
        <f>IFERROR(__xludf.DUMMYFUNCTION("""COMPUTED_VALUE"""),1.0)</f>
        <v>1</v>
      </c>
      <c r="J15" s="1">
        <f>IFERROR(__xludf.DUMMYFUNCTION("""COMPUTED_VALUE"""),1.0)</f>
        <v>1</v>
      </c>
      <c r="K15" s="1">
        <f>IFERROR(__xludf.DUMMYFUNCTION("""COMPUTED_VALUE"""),1.0)</f>
        <v>1</v>
      </c>
      <c r="L15" s="1">
        <f>IFERROR(__xludf.DUMMYFUNCTION("""COMPUTED_VALUE"""),1.0)</f>
        <v>1</v>
      </c>
      <c r="M15" s="1">
        <f>IFERROR(__xludf.DUMMYFUNCTION("""COMPUTED_VALUE"""),1.0)</f>
        <v>1</v>
      </c>
      <c r="N15" s="1">
        <f>IFERROR(__xludf.DUMMYFUNCTION("""COMPUTED_VALUE"""),1.0)</f>
        <v>1</v>
      </c>
      <c r="O15" s="1">
        <f>IFERROR(__xludf.DUMMYFUNCTION("""COMPUTED_VALUE"""),1.0)</f>
        <v>1</v>
      </c>
      <c r="P15" s="1"/>
      <c r="Q15" s="1">
        <f>IFERROR(__xludf.DUMMYFUNCTION("""COMPUTED_VALUE"""),5.0)</f>
        <v>5</v>
      </c>
      <c r="R15" s="1"/>
      <c r="S15" s="1"/>
      <c r="T15" s="1"/>
      <c r="U15" s="1">
        <f>IFERROR(__xludf.DUMMYFUNCTION("""COMPUTED_VALUE"""),5.0)</f>
        <v>5</v>
      </c>
      <c r="V15" s="1"/>
      <c r="W15" s="1"/>
      <c r="X15" s="1">
        <f>IFERROR(__xludf.DUMMYFUNCTION("""COMPUTED_VALUE"""),5.0)</f>
        <v>5</v>
      </c>
      <c r="Y15" s="1">
        <f>IFERROR(__xludf.DUMMYFUNCTION("""COMPUTED_VALUE"""),5.0)</f>
        <v>5</v>
      </c>
      <c r="Z15" s="1">
        <f>IFERROR(__xludf.DUMMYFUNCTION("""COMPUTED_VALUE"""),5.0)</f>
        <v>5</v>
      </c>
      <c r="AA15" s="1">
        <f>IFERROR(__xludf.DUMMYFUNCTION("""COMPUTED_VALUE"""),5.0)</f>
        <v>5</v>
      </c>
      <c r="AB15" s="1">
        <f>IFERROR(__xludf.DUMMYFUNCTION("""COMPUTED_VALUE"""),5.0)</f>
        <v>5</v>
      </c>
      <c r="AC15" s="1">
        <f>IFERROR(__xludf.DUMMYFUNCTION("""COMPUTED_VALUE"""),5.0)</f>
        <v>5</v>
      </c>
      <c r="AD15" s="1">
        <f>IFERROR(__xludf.DUMMYFUNCTION("""COMPUTED_VALUE"""),5.0)</f>
        <v>5</v>
      </c>
      <c r="AE15" s="1">
        <f>IFERROR(__xludf.DUMMYFUNCTION("""COMPUTED_VALUE"""),5.0)</f>
        <v>5</v>
      </c>
      <c r="AF15" s="1">
        <f>IFERROR(__xludf.DUMMYFUNCTION("""COMPUTED_VALUE"""),7.0)</f>
        <v>7</v>
      </c>
      <c r="AG15" s="1">
        <f>IFERROR(__xludf.DUMMYFUNCTION("""COMPUTED_VALUE"""),9.5)</f>
        <v>9.5</v>
      </c>
      <c r="AH15" s="1">
        <f>IFERROR(__xludf.DUMMYFUNCTION("""COMPUTED_VALUE"""),8.5)</f>
        <v>8.5</v>
      </c>
      <c r="AI15" s="1">
        <f>IFERROR(__xludf.DUMMYFUNCTION("""COMPUTED_VALUE"""),6.0)</f>
        <v>6</v>
      </c>
      <c r="AJ15" s="5">
        <f>IFERROR(__xludf.DUMMYFUNCTION("""COMPUTED_VALUE"""),0.0)</f>
        <v>0</v>
      </c>
      <c r="AK15" s="1">
        <f>IFERROR(__xludf.DUMMYFUNCTION("""COMPUTED_VALUE"""),16.667)</f>
        <v>16.667</v>
      </c>
      <c r="AL15" s="1">
        <f>IFERROR(__xludf.DUMMYFUNCTION("""COMPUTED_VALUE"""),3.0)</f>
        <v>3</v>
      </c>
      <c r="AM15" s="1">
        <f>IFERROR(__xludf.DUMMYFUNCTION("""COMPUTED_VALUE"""),2.0)</f>
        <v>2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>
      <c r="A16" s="1">
        <f>IFERROR(__xludf.DUMMYFUNCTION("""COMPUTED_VALUE"""),13.0)</f>
        <v>13</v>
      </c>
      <c r="B16" s="1" t="str">
        <f>IFERROR(__xludf.DUMMYFUNCTION("""COMPUTED_VALUE"""),"1000057768")</f>
        <v>1000057768</v>
      </c>
      <c r="C16" s="1" t="str">
        <f>IFERROR(__xludf.DUMMYFUNCTION("""COMPUTED_VALUE"""),"Farhan Shahriar Shadin")</f>
        <v>Farhan Shahriar Shadin</v>
      </c>
      <c r="D16" s="1" t="str">
        <f>IFERROR(__xludf.DUMMYFUNCTION("""COMPUTED_VALUE"""),"farhan.shahriar.shadin@g.bracu.ac.bd")</f>
        <v>farhan.shahriar.shadin@g.bracu.ac.bd</v>
      </c>
      <c r="E16" s="1" t="b">
        <f>IFERROR(__xludf.DUMMYFUNCTION("""COMPUTED_VALUE"""),TRUE)</f>
        <v>1</v>
      </c>
      <c r="F16" s="1">
        <f>IFERROR(__xludf.DUMMYFUNCTION("""COMPUTED_VALUE"""),0.0)</f>
        <v>0</v>
      </c>
      <c r="G16" s="1" t="str">
        <f>IFERROR(__xludf.DUMMYFUNCTION("""COMPUTED_VALUE"""),"OKAY")</f>
        <v>OKAY</v>
      </c>
      <c r="H16" s="1">
        <f>IFERROR(__xludf.DUMMYFUNCTION("""COMPUTED_VALUE"""),1.0)</f>
        <v>1</v>
      </c>
      <c r="I16" s="1">
        <f>IFERROR(__xludf.DUMMYFUNCTION("""COMPUTED_VALUE"""),1.0)</f>
        <v>1</v>
      </c>
      <c r="J16" s="1">
        <f>IFERROR(__xludf.DUMMYFUNCTION("""COMPUTED_VALUE"""),1.0)</f>
        <v>1</v>
      </c>
      <c r="K16" s="1">
        <f>IFERROR(__xludf.DUMMYFUNCTION("""COMPUTED_VALUE"""),1.0)</f>
        <v>1</v>
      </c>
      <c r="L16" s="1">
        <f>IFERROR(__xludf.DUMMYFUNCTION("""COMPUTED_VALUE"""),1.0)</f>
        <v>1</v>
      </c>
      <c r="M16" s="1">
        <f>IFERROR(__xludf.DUMMYFUNCTION("""COMPUTED_VALUE"""),1.0)</f>
        <v>1</v>
      </c>
      <c r="N16" s="1">
        <f>IFERROR(__xludf.DUMMYFUNCTION("""COMPUTED_VALUE"""),1.0)</f>
        <v>1</v>
      </c>
      <c r="O16" s="1">
        <f>IFERROR(__xludf.DUMMYFUNCTION("""COMPUTED_VALUE"""),1.0)</f>
        <v>1</v>
      </c>
      <c r="P16" s="1"/>
      <c r="Q16" s="1">
        <f>IFERROR(__xludf.DUMMYFUNCTION("""COMPUTED_VALUE"""),5.0)</f>
        <v>5</v>
      </c>
      <c r="R16" s="1"/>
      <c r="S16" s="1"/>
      <c r="T16" s="1"/>
      <c r="U16" s="1">
        <f>IFERROR(__xludf.DUMMYFUNCTION("""COMPUTED_VALUE"""),5.0)</f>
        <v>5</v>
      </c>
      <c r="V16" s="1"/>
      <c r="W16" s="1"/>
      <c r="X16" s="1">
        <f>IFERROR(__xludf.DUMMYFUNCTION("""COMPUTED_VALUE"""),5.0)</f>
        <v>5</v>
      </c>
      <c r="Y16" s="1">
        <f>IFERROR(__xludf.DUMMYFUNCTION("""COMPUTED_VALUE"""),5.0)</f>
        <v>5</v>
      </c>
      <c r="Z16" s="1">
        <f>IFERROR(__xludf.DUMMYFUNCTION("""COMPUTED_VALUE"""),1.0)</f>
        <v>1</v>
      </c>
      <c r="AA16" s="1">
        <f>IFERROR(__xludf.DUMMYFUNCTION("""COMPUTED_VALUE"""),5.0)</f>
        <v>5</v>
      </c>
      <c r="AB16" s="1">
        <f>IFERROR(__xludf.DUMMYFUNCTION("""COMPUTED_VALUE"""),5.0)</f>
        <v>5</v>
      </c>
      <c r="AC16" s="1">
        <f>IFERROR(__xludf.DUMMYFUNCTION("""COMPUTED_VALUE"""),4.0)</f>
        <v>4</v>
      </c>
      <c r="AD16" s="1">
        <f>IFERROR(__xludf.DUMMYFUNCTION("""COMPUTED_VALUE"""),5.0)</f>
        <v>5</v>
      </c>
      <c r="AE16" s="1">
        <f>IFERROR(__xludf.DUMMYFUNCTION("""COMPUTED_VALUE"""),5.0)</f>
        <v>5</v>
      </c>
      <c r="AF16" s="1">
        <f>IFERROR(__xludf.DUMMYFUNCTION("""COMPUTED_VALUE"""),7.5)</f>
        <v>7.5</v>
      </c>
      <c r="AG16" s="1">
        <f>IFERROR(__xludf.DUMMYFUNCTION("""COMPUTED_VALUE"""),7.0)</f>
        <v>7</v>
      </c>
      <c r="AH16" s="1">
        <f>IFERROR(__xludf.DUMMYFUNCTION("""COMPUTED_VALUE"""),6.75)</f>
        <v>6.75</v>
      </c>
      <c r="AI16" s="1">
        <f>IFERROR(__xludf.DUMMYFUNCTION("""COMPUTED_VALUE"""),5.0)</f>
        <v>5</v>
      </c>
      <c r="AJ16" s="5">
        <f>IFERROR(__xludf.DUMMYFUNCTION("""COMPUTED_VALUE"""),0.0)</f>
        <v>0</v>
      </c>
      <c r="AK16" s="1">
        <f>IFERROR(__xludf.DUMMYFUNCTION("""COMPUTED_VALUE"""),14.167)</f>
        <v>14.167</v>
      </c>
      <c r="AL16" s="1">
        <f>IFERROR(__xludf.DUMMYFUNCTION("""COMPUTED_VALUE"""),3.0)</f>
        <v>3</v>
      </c>
      <c r="AM16" s="1">
        <f>IFERROR(__xludf.DUMMYFUNCTION("""COMPUTED_VALUE"""),1.75)</f>
        <v>1.75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>
      <c r="A17" s="1">
        <f>IFERROR(__xludf.DUMMYFUNCTION("""COMPUTED_VALUE"""),14.0)</f>
        <v>14</v>
      </c>
      <c r="B17" s="1" t="str">
        <f>IFERROR(__xludf.DUMMYFUNCTION("""COMPUTED_VALUE"""),"1000057822")</f>
        <v>1000057822</v>
      </c>
      <c r="C17" s="1" t="str">
        <f>IFERROR(__xludf.DUMMYFUNCTION("""COMPUTED_VALUE"""),"Shefain Rahman")</f>
        <v>Shefain Rahman</v>
      </c>
      <c r="D17" s="1" t="str">
        <f>IFERROR(__xludf.DUMMYFUNCTION("""COMPUTED_VALUE"""),"shefain.rahman@g.bracu.ac.bd")</f>
        <v>shefain.rahman@g.bracu.ac.bd</v>
      </c>
      <c r="E17" s="1" t="b">
        <f>IFERROR(__xludf.DUMMYFUNCTION("""COMPUTED_VALUE"""),TRUE)</f>
        <v>1</v>
      </c>
      <c r="F17" s="1">
        <f>IFERROR(__xludf.DUMMYFUNCTION("""COMPUTED_VALUE"""),0.0)</f>
        <v>0</v>
      </c>
      <c r="G17" s="1" t="str">
        <f>IFERROR(__xludf.DUMMYFUNCTION("""COMPUTED_VALUE"""),"OKAY")</f>
        <v>OKAY</v>
      </c>
      <c r="H17" s="1">
        <f>IFERROR(__xludf.DUMMYFUNCTION("""COMPUTED_VALUE"""),1.0)</f>
        <v>1</v>
      </c>
      <c r="I17" s="1">
        <f>IFERROR(__xludf.DUMMYFUNCTION("""COMPUTED_VALUE"""),1.0)</f>
        <v>1</v>
      </c>
      <c r="J17" s="1">
        <f>IFERROR(__xludf.DUMMYFUNCTION("""COMPUTED_VALUE"""),1.0)</f>
        <v>1</v>
      </c>
      <c r="K17" s="1">
        <f>IFERROR(__xludf.DUMMYFUNCTION("""COMPUTED_VALUE"""),1.0)</f>
        <v>1</v>
      </c>
      <c r="L17" s="1">
        <f>IFERROR(__xludf.DUMMYFUNCTION("""COMPUTED_VALUE"""),1.0)</f>
        <v>1</v>
      </c>
      <c r="M17" s="1">
        <f>IFERROR(__xludf.DUMMYFUNCTION("""COMPUTED_VALUE"""),1.0)</f>
        <v>1</v>
      </c>
      <c r="N17" s="1">
        <f>IFERROR(__xludf.DUMMYFUNCTION("""COMPUTED_VALUE"""),1.0)</f>
        <v>1</v>
      </c>
      <c r="O17" s="1">
        <f>IFERROR(__xludf.DUMMYFUNCTION("""COMPUTED_VALUE"""),1.0)</f>
        <v>1</v>
      </c>
      <c r="P17" s="1"/>
      <c r="Q17" s="1">
        <f>IFERROR(__xludf.DUMMYFUNCTION("""COMPUTED_VALUE"""),5.0)</f>
        <v>5</v>
      </c>
      <c r="R17" s="1"/>
      <c r="S17" s="1"/>
      <c r="T17" s="1"/>
      <c r="U17" s="1">
        <f>IFERROR(__xludf.DUMMYFUNCTION("""COMPUTED_VALUE"""),4.75)</f>
        <v>4.75</v>
      </c>
      <c r="V17" s="1"/>
      <c r="W17" s="1"/>
      <c r="X17" s="1">
        <f>IFERROR(__xludf.DUMMYFUNCTION("""COMPUTED_VALUE"""),5.0)</f>
        <v>5</v>
      </c>
      <c r="Y17" s="1">
        <f>IFERROR(__xludf.DUMMYFUNCTION("""COMPUTED_VALUE"""),5.0)</f>
        <v>5</v>
      </c>
      <c r="Z17" s="1">
        <f>IFERROR(__xludf.DUMMYFUNCTION("""COMPUTED_VALUE"""),5.0)</f>
        <v>5</v>
      </c>
      <c r="AA17" s="1">
        <f>IFERROR(__xludf.DUMMYFUNCTION("""COMPUTED_VALUE"""),5.0)</f>
        <v>5</v>
      </c>
      <c r="AB17" s="1">
        <f>IFERROR(__xludf.DUMMYFUNCTION("""COMPUTED_VALUE"""),5.0)</f>
        <v>5</v>
      </c>
      <c r="AC17" s="1">
        <f>IFERROR(__xludf.DUMMYFUNCTION("""COMPUTED_VALUE"""),5.0)</f>
        <v>5</v>
      </c>
      <c r="AD17" s="1">
        <f>IFERROR(__xludf.DUMMYFUNCTION("""COMPUTED_VALUE"""),5.0)</f>
        <v>5</v>
      </c>
      <c r="AE17" s="1">
        <f>IFERROR(__xludf.DUMMYFUNCTION("""COMPUTED_VALUE"""),5.0)</f>
        <v>5</v>
      </c>
      <c r="AF17" s="1">
        <f>IFERROR(__xludf.DUMMYFUNCTION("""COMPUTED_VALUE"""),7.0)</f>
        <v>7</v>
      </c>
      <c r="AG17" s="1">
        <f>IFERROR(__xludf.DUMMYFUNCTION("""COMPUTED_VALUE"""),8.0)</f>
        <v>8</v>
      </c>
      <c r="AH17" s="1">
        <f>IFERROR(__xludf.DUMMYFUNCTION("""COMPUTED_VALUE"""),7.5)</f>
        <v>7.5</v>
      </c>
      <c r="AI17" s="1">
        <f>IFERROR(__xludf.DUMMYFUNCTION("""COMPUTED_VALUE"""),5.0)</f>
        <v>5</v>
      </c>
      <c r="AJ17" s="5">
        <f>IFERROR(__xludf.DUMMYFUNCTION("""COMPUTED_VALUE"""),0.0)</f>
        <v>0</v>
      </c>
      <c r="AK17" s="1">
        <f>IFERROR(__xludf.DUMMYFUNCTION("""COMPUTED_VALUE"""),15.0)</f>
        <v>15</v>
      </c>
      <c r="AL17" s="1">
        <f>IFERROR(__xludf.DUMMYFUNCTION("""COMPUTED_VALUE"""),2.925)</f>
        <v>2.925</v>
      </c>
      <c r="AM17" s="1">
        <f>IFERROR(__xludf.DUMMYFUNCTION("""COMPUTED_VALUE"""),2.0)</f>
        <v>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>
      <c r="A18" s="1">
        <f>IFERROR(__xludf.DUMMYFUNCTION("""COMPUTED_VALUE"""),15.0)</f>
        <v>15</v>
      </c>
      <c r="B18" s="1" t="str">
        <f>IFERROR(__xludf.DUMMYFUNCTION("""COMPUTED_VALUE"""),"1000057852")</f>
        <v>1000057852</v>
      </c>
      <c r="C18" s="1" t="str">
        <f>IFERROR(__xludf.DUMMYFUNCTION("""COMPUTED_VALUE"""),"Sayem Saruwar")</f>
        <v>Sayem Saruwar</v>
      </c>
      <c r="D18" s="1" t="str">
        <f>IFERROR(__xludf.DUMMYFUNCTION("""COMPUTED_VALUE"""),"sayem.saruwar@g.bracu.ac.bd")</f>
        <v>sayem.saruwar@g.bracu.ac.bd</v>
      </c>
      <c r="E18" s="1" t="b">
        <f>IFERROR(__xludf.DUMMYFUNCTION("""COMPUTED_VALUE"""),TRUE)</f>
        <v>1</v>
      </c>
      <c r="F18" s="1">
        <f>IFERROR(__xludf.DUMMYFUNCTION("""COMPUTED_VALUE"""),0.0)</f>
        <v>0</v>
      </c>
      <c r="G18" s="1" t="str">
        <f>IFERROR(__xludf.DUMMYFUNCTION("""COMPUTED_VALUE"""),"OKAY")</f>
        <v>OKAY</v>
      </c>
      <c r="H18" s="1">
        <f>IFERROR(__xludf.DUMMYFUNCTION("""COMPUTED_VALUE"""),1.0)</f>
        <v>1</v>
      </c>
      <c r="I18" s="1">
        <f>IFERROR(__xludf.DUMMYFUNCTION("""COMPUTED_VALUE"""),1.0)</f>
        <v>1</v>
      </c>
      <c r="J18" s="1">
        <f>IFERROR(__xludf.DUMMYFUNCTION("""COMPUTED_VALUE"""),1.0)</f>
        <v>1</v>
      </c>
      <c r="K18" s="1">
        <f>IFERROR(__xludf.DUMMYFUNCTION("""COMPUTED_VALUE"""),1.0)</f>
        <v>1</v>
      </c>
      <c r="L18" s="1">
        <f>IFERROR(__xludf.DUMMYFUNCTION("""COMPUTED_VALUE"""),1.0)</f>
        <v>1</v>
      </c>
      <c r="M18" s="1">
        <f>IFERROR(__xludf.DUMMYFUNCTION("""COMPUTED_VALUE"""),1.0)</f>
        <v>1</v>
      </c>
      <c r="N18" s="1">
        <f>IFERROR(__xludf.DUMMYFUNCTION("""COMPUTED_VALUE"""),1.0)</f>
        <v>1</v>
      </c>
      <c r="O18" s="1">
        <f>IFERROR(__xludf.DUMMYFUNCTION("""COMPUTED_VALUE"""),1.0)</f>
        <v>1</v>
      </c>
      <c r="P18" s="1"/>
      <c r="Q18" s="1">
        <f>IFERROR(__xludf.DUMMYFUNCTION("""COMPUTED_VALUE"""),5.0)</f>
        <v>5</v>
      </c>
      <c r="R18" s="1"/>
      <c r="S18" s="1"/>
      <c r="T18" s="1"/>
      <c r="U18" s="1">
        <f>IFERROR(__xludf.DUMMYFUNCTION("""COMPUTED_VALUE"""),5.0)</f>
        <v>5</v>
      </c>
      <c r="V18" s="1"/>
      <c r="W18" s="1"/>
      <c r="X18" s="1">
        <f>IFERROR(__xludf.DUMMYFUNCTION("""COMPUTED_VALUE"""),5.0)</f>
        <v>5</v>
      </c>
      <c r="Y18" s="1">
        <f>IFERROR(__xludf.DUMMYFUNCTION("""COMPUTED_VALUE"""),5.0)</f>
        <v>5</v>
      </c>
      <c r="Z18" s="1">
        <f>IFERROR(__xludf.DUMMYFUNCTION("""COMPUTED_VALUE"""),5.0)</f>
        <v>5</v>
      </c>
      <c r="AA18" s="1">
        <f>IFERROR(__xludf.DUMMYFUNCTION("""COMPUTED_VALUE"""),5.0)</f>
        <v>5</v>
      </c>
      <c r="AB18" s="1">
        <f>IFERROR(__xludf.DUMMYFUNCTION("""COMPUTED_VALUE"""),5.0)</f>
        <v>5</v>
      </c>
      <c r="AC18" s="1">
        <f>IFERROR(__xludf.DUMMYFUNCTION("""COMPUTED_VALUE"""),5.0)</f>
        <v>5</v>
      </c>
      <c r="AD18" s="1">
        <f>IFERROR(__xludf.DUMMYFUNCTION("""COMPUTED_VALUE"""),5.0)</f>
        <v>5</v>
      </c>
      <c r="AE18" s="1">
        <f>IFERROR(__xludf.DUMMYFUNCTION("""COMPUTED_VALUE"""),5.0)</f>
        <v>5</v>
      </c>
      <c r="AF18" s="1">
        <f>IFERROR(__xludf.DUMMYFUNCTION("""COMPUTED_VALUE"""),9.0)</f>
        <v>9</v>
      </c>
      <c r="AG18" s="1">
        <f>IFERROR(__xludf.DUMMYFUNCTION("""COMPUTED_VALUE"""),9.75)</f>
        <v>9.75</v>
      </c>
      <c r="AH18" s="1">
        <f>IFERROR(__xludf.DUMMYFUNCTION("""COMPUTED_VALUE"""),9.25)</f>
        <v>9.25</v>
      </c>
      <c r="AI18" s="1">
        <f>IFERROR(__xludf.DUMMYFUNCTION("""COMPUTED_VALUE"""),6.0)</f>
        <v>6</v>
      </c>
      <c r="AJ18" s="5">
        <f>IFERROR(__xludf.DUMMYFUNCTION("""COMPUTED_VALUE"""),0.0)</f>
        <v>0</v>
      </c>
      <c r="AK18" s="1">
        <f>IFERROR(__xludf.DUMMYFUNCTION("""COMPUTED_VALUE"""),18.667)</f>
        <v>18.667</v>
      </c>
      <c r="AL18" s="1">
        <f>IFERROR(__xludf.DUMMYFUNCTION("""COMPUTED_VALUE"""),3.0)</f>
        <v>3</v>
      </c>
      <c r="AM18" s="1">
        <f>IFERROR(__xludf.DUMMYFUNCTION("""COMPUTED_VALUE"""),2.0)</f>
        <v>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>
      <c r="A19" s="1">
        <f>IFERROR(__xludf.DUMMYFUNCTION("""COMPUTED_VALUE"""),16.0)</f>
        <v>16</v>
      </c>
      <c r="B19" s="1" t="str">
        <f>IFERROR(__xludf.DUMMYFUNCTION("""COMPUTED_VALUE"""),"1000057856")</f>
        <v>1000057856</v>
      </c>
      <c r="C19" s="1" t="str">
        <f>IFERROR(__xludf.DUMMYFUNCTION("""COMPUTED_VALUE"""),"Dewan Sazzad Hasan")</f>
        <v>Dewan Sazzad Hasan</v>
      </c>
      <c r="D19" s="1" t="str">
        <f>IFERROR(__xludf.DUMMYFUNCTION("""COMPUTED_VALUE"""),"dewan.sazzad.hasan@g.bracu.ac.bd")</f>
        <v>dewan.sazzad.hasan@g.bracu.ac.bd</v>
      </c>
      <c r="E19" s="1" t="b">
        <f>IFERROR(__xludf.DUMMYFUNCTION("""COMPUTED_VALUE"""),TRUE)</f>
        <v>1</v>
      </c>
      <c r="F19" s="1">
        <f>IFERROR(__xludf.DUMMYFUNCTION("""COMPUTED_VALUE"""),0.0)</f>
        <v>0</v>
      </c>
      <c r="G19" s="1" t="str">
        <f>IFERROR(__xludf.DUMMYFUNCTION("""COMPUTED_VALUE"""),"OKAY")</f>
        <v>OKAY</v>
      </c>
      <c r="H19" s="1">
        <f>IFERROR(__xludf.DUMMYFUNCTION("""COMPUTED_VALUE"""),1.0)</f>
        <v>1</v>
      </c>
      <c r="I19" s="1">
        <f>IFERROR(__xludf.DUMMYFUNCTION("""COMPUTED_VALUE"""),1.0)</f>
        <v>1</v>
      </c>
      <c r="J19" s="1">
        <f>IFERROR(__xludf.DUMMYFUNCTION("""COMPUTED_VALUE"""),1.0)</f>
        <v>1</v>
      </c>
      <c r="K19" s="1">
        <f>IFERROR(__xludf.DUMMYFUNCTION("""COMPUTED_VALUE"""),1.0)</f>
        <v>1</v>
      </c>
      <c r="L19" s="1">
        <f>IFERROR(__xludf.DUMMYFUNCTION("""COMPUTED_VALUE"""),1.0)</f>
        <v>1</v>
      </c>
      <c r="M19" s="1">
        <f>IFERROR(__xludf.DUMMYFUNCTION("""COMPUTED_VALUE"""),1.0)</f>
        <v>1</v>
      </c>
      <c r="N19" s="1">
        <f>IFERROR(__xludf.DUMMYFUNCTION("""COMPUTED_VALUE"""),1.0)</f>
        <v>1</v>
      </c>
      <c r="O19" s="1">
        <f>IFERROR(__xludf.DUMMYFUNCTION("""COMPUTED_VALUE"""),1.0)</f>
        <v>1</v>
      </c>
      <c r="P19" s="1"/>
      <c r="Q19" s="1">
        <f>IFERROR(__xludf.DUMMYFUNCTION("""COMPUTED_VALUE"""),5.0)</f>
        <v>5</v>
      </c>
      <c r="R19" s="1"/>
      <c r="S19" s="1"/>
      <c r="T19" s="1"/>
      <c r="U19" s="1">
        <f>IFERROR(__xludf.DUMMYFUNCTION("""COMPUTED_VALUE"""),5.0)</f>
        <v>5</v>
      </c>
      <c r="V19" s="1"/>
      <c r="W19" s="1"/>
      <c r="X19" s="1">
        <f>IFERROR(__xludf.DUMMYFUNCTION("""COMPUTED_VALUE"""),5.0)</f>
        <v>5</v>
      </c>
      <c r="Y19" s="1">
        <f>IFERROR(__xludf.DUMMYFUNCTION("""COMPUTED_VALUE"""),5.0)</f>
        <v>5</v>
      </c>
      <c r="Z19" s="1">
        <f>IFERROR(__xludf.DUMMYFUNCTION("""COMPUTED_VALUE"""),5.0)</f>
        <v>5</v>
      </c>
      <c r="AA19" s="1">
        <f>IFERROR(__xludf.DUMMYFUNCTION("""COMPUTED_VALUE"""),5.0)</f>
        <v>5</v>
      </c>
      <c r="AB19" s="1">
        <f>IFERROR(__xludf.DUMMYFUNCTION("""COMPUTED_VALUE"""),5.0)</f>
        <v>5</v>
      </c>
      <c r="AC19" s="1">
        <f>IFERROR(__xludf.DUMMYFUNCTION("""COMPUTED_VALUE"""),5.0)</f>
        <v>5</v>
      </c>
      <c r="AD19" s="1">
        <f>IFERROR(__xludf.DUMMYFUNCTION("""COMPUTED_VALUE"""),5.0)</f>
        <v>5</v>
      </c>
      <c r="AE19" s="1">
        <f>IFERROR(__xludf.DUMMYFUNCTION("""COMPUTED_VALUE"""),5.0)</f>
        <v>5</v>
      </c>
      <c r="AF19" s="1">
        <f>IFERROR(__xludf.DUMMYFUNCTION("""COMPUTED_VALUE"""),9.5)</f>
        <v>9.5</v>
      </c>
      <c r="AG19" s="1">
        <f>IFERROR(__xludf.DUMMYFUNCTION("""COMPUTED_VALUE"""),9.75)</f>
        <v>9.75</v>
      </c>
      <c r="AH19" s="1">
        <f>IFERROR(__xludf.DUMMYFUNCTION("""COMPUTED_VALUE"""),9.0)</f>
        <v>9</v>
      </c>
      <c r="AI19" s="1">
        <f>IFERROR(__xludf.DUMMYFUNCTION("""COMPUTED_VALUE"""),8.0)</f>
        <v>8</v>
      </c>
      <c r="AJ19" s="5">
        <f>IFERROR(__xludf.DUMMYFUNCTION("""COMPUTED_VALUE"""),0.0)</f>
        <v>0</v>
      </c>
      <c r="AK19" s="1">
        <f>IFERROR(__xludf.DUMMYFUNCTION("""COMPUTED_VALUE"""),18.834)</f>
        <v>18.834</v>
      </c>
      <c r="AL19" s="1">
        <f>IFERROR(__xludf.DUMMYFUNCTION("""COMPUTED_VALUE"""),3.0)</f>
        <v>3</v>
      </c>
      <c r="AM19" s="1">
        <f>IFERROR(__xludf.DUMMYFUNCTION("""COMPUTED_VALUE"""),2.0)</f>
        <v>2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>
      <c r="A20" s="1">
        <f>IFERROR(__xludf.DUMMYFUNCTION("""COMPUTED_VALUE"""),17.0)</f>
        <v>17</v>
      </c>
      <c r="B20" s="1" t="str">
        <f>IFERROR(__xludf.DUMMYFUNCTION("""COMPUTED_VALUE"""),"1000057875")</f>
        <v>1000057875</v>
      </c>
      <c r="C20" s="1" t="str">
        <f>IFERROR(__xludf.DUMMYFUNCTION("""COMPUTED_VALUE"""),"Nademul Islam Alam")</f>
        <v>Nademul Islam Alam</v>
      </c>
      <c r="D20" s="1" t="str">
        <f>IFERROR(__xludf.DUMMYFUNCTION("""COMPUTED_VALUE"""),"nademul.islam.alam@g.bracu.ac.bd")</f>
        <v>nademul.islam.alam@g.bracu.ac.bd</v>
      </c>
      <c r="E20" s="1" t="b">
        <f>IFERROR(__xludf.DUMMYFUNCTION("""COMPUTED_VALUE"""),TRUE)</f>
        <v>1</v>
      </c>
      <c r="F20" s="1">
        <f>IFERROR(__xludf.DUMMYFUNCTION("""COMPUTED_VALUE"""),1.0)</f>
        <v>1</v>
      </c>
      <c r="G20" s="1" t="str">
        <f>IFERROR(__xludf.DUMMYFUNCTION("""COMPUTED_VALUE"""),"WARNING")</f>
        <v>WARNING</v>
      </c>
      <c r="H20" s="1">
        <f>IFERROR(__xludf.DUMMYFUNCTION("""COMPUTED_VALUE"""),1.0)</f>
        <v>1</v>
      </c>
      <c r="I20" s="1">
        <f>IFERROR(__xludf.DUMMYFUNCTION("""COMPUTED_VALUE"""),1.0)</f>
        <v>1</v>
      </c>
      <c r="J20" s="1">
        <f>IFERROR(__xludf.DUMMYFUNCTION("""COMPUTED_VALUE"""),0.0)</f>
        <v>0</v>
      </c>
      <c r="K20" s="1" t="str">
        <f>IFERROR(__xludf.DUMMYFUNCTION("""COMPUTED_VALUE"""),"s")</f>
        <v>s</v>
      </c>
      <c r="L20" s="1">
        <f>IFERROR(__xludf.DUMMYFUNCTION("""COMPUTED_VALUE"""),1.0)</f>
        <v>1</v>
      </c>
      <c r="M20" s="1">
        <f>IFERROR(__xludf.DUMMYFUNCTION("""COMPUTED_VALUE"""),1.0)</f>
        <v>1</v>
      </c>
      <c r="N20" s="1">
        <f>IFERROR(__xludf.DUMMYFUNCTION("""COMPUTED_VALUE"""),1.0)</f>
        <v>1</v>
      </c>
      <c r="O20" s="1">
        <f>IFERROR(__xludf.DUMMYFUNCTION("""COMPUTED_VALUE"""),1.0)</f>
        <v>1</v>
      </c>
      <c r="P20" s="1"/>
      <c r="Q20" s="1">
        <f>IFERROR(__xludf.DUMMYFUNCTION("""COMPUTED_VALUE"""),5.0)</f>
        <v>5</v>
      </c>
      <c r="R20" s="1"/>
      <c r="S20" s="1"/>
      <c r="T20" s="1"/>
      <c r="U20" s="1">
        <f>IFERROR(__xludf.DUMMYFUNCTION("""COMPUTED_VALUE"""),5.0)</f>
        <v>5</v>
      </c>
      <c r="V20" s="1"/>
      <c r="W20" s="1"/>
      <c r="X20" s="1"/>
      <c r="Y20" s="1">
        <f>IFERROR(__xludf.DUMMYFUNCTION("""COMPUTED_VALUE"""),0.0)</f>
        <v>0</v>
      </c>
      <c r="Z20" s="1"/>
      <c r="AA20" s="1">
        <f>IFERROR(__xludf.DUMMYFUNCTION("""COMPUTED_VALUE"""),2.0)</f>
        <v>2</v>
      </c>
      <c r="AB20" s="1">
        <f>IFERROR(__xludf.DUMMYFUNCTION("""COMPUTED_VALUE"""),5.0)</f>
        <v>5</v>
      </c>
      <c r="AC20" s="1">
        <f>IFERROR(__xludf.DUMMYFUNCTION("""COMPUTED_VALUE"""),5.0)</f>
        <v>5</v>
      </c>
      <c r="AD20" s="1">
        <f>IFERROR(__xludf.DUMMYFUNCTION("""COMPUTED_VALUE"""),5.0)</f>
        <v>5</v>
      </c>
      <c r="AE20" s="1">
        <f>IFERROR(__xludf.DUMMYFUNCTION("""COMPUTED_VALUE"""),5.0)</f>
        <v>5</v>
      </c>
      <c r="AF20" s="1"/>
      <c r="AG20" s="1">
        <f>IFERROR(__xludf.DUMMYFUNCTION("""COMPUTED_VALUE"""),6.5)</f>
        <v>6.5</v>
      </c>
      <c r="AH20" s="1">
        <f>IFERROR(__xludf.DUMMYFUNCTION("""COMPUTED_VALUE"""),6.5)</f>
        <v>6.5</v>
      </c>
      <c r="AI20" s="1">
        <f>IFERROR(__xludf.DUMMYFUNCTION("""COMPUTED_VALUE"""),3.0)</f>
        <v>3</v>
      </c>
      <c r="AJ20" s="5">
        <f>IFERROR(__xludf.DUMMYFUNCTION("""COMPUTED_VALUE"""),0.0)</f>
        <v>0</v>
      </c>
      <c r="AK20" s="1">
        <f>IFERROR(__xludf.DUMMYFUNCTION("""COMPUTED_VALUE"""),10.667)</f>
        <v>10.667</v>
      </c>
      <c r="AL20" s="1">
        <f>IFERROR(__xludf.DUMMYFUNCTION("""COMPUTED_VALUE"""),3.0)</f>
        <v>3</v>
      </c>
      <c r="AM20" s="1">
        <f>IFERROR(__xludf.DUMMYFUNCTION("""COMPUTED_VALUE"""),1.1)</f>
        <v>1.1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>
      <c r="A21" s="1">
        <f>IFERROR(__xludf.DUMMYFUNCTION("""COMPUTED_VALUE"""),18.0)</f>
        <v>18</v>
      </c>
      <c r="B21" s="1" t="str">
        <f>IFERROR(__xludf.DUMMYFUNCTION("""COMPUTED_VALUE"""),"1000058012")</f>
        <v>1000058012</v>
      </c>
      <c r="C21" s="1" t="str">
        <f>IFERROR(__xludf.DUMMYFUNCTION("""COMPUTED_VALUE"""),"Mashrafee Bin Eakram")</f>
        <v>Mashrafee Bin Eakram</v>
      </c>
      <c r="D21" s="1" t="str">
        <f>IFERROR(__xludf.DUMMYFUNCTION("""COMPUTED_VALUE"""),"mashrafee.bin.eakram@g.bracu.ac.bd")</f>
        <v>mashrafee.bin.eakram@g.bracu.ac.bd</v>
      </c>
      <c r="E21" s="1" t="b">
        <f>IFERROR(__xludf.DUMMYFUNCTION("""COMPUTED_VALUE"""),TRUE)</f>
        <v>1</v>
      </c>
      <c r="F21" s="1">
        <f>IFERROR(__xludf.DUMMYFUNCTION("""COMPUTED_VALUE"""),0.0)</f>
        <v>0</v>
      </c>
      <c r="G21" s="1" t="str">
        <f>IFERROR(__xludf.DUMMYFUNCTION("""COMPUTED_VALUE"""),"OKAY")</f>
        <v>OKAY</v>
      </c>
      <c r="H21" s="1">
        <f>IFERROR(__xludf.DUMMYFUNCTION("""COMPUTED_VALUE"""),1.0)</f>
        <v>1</v>
      </c>
      <c r="I21" s="1">
        <f>IFERROR(__xludf.DUMMYFUNCTION("""COMPUTED_VALUE"""),1.0)</f>
        <v>1</v>
      </c>
      <c r="J21" s="1">
        <f>IFERROR(__xludf.DUMMYFUNCTION("""COMPUTED_VALUE"""),1.0)</f>
        <v>1</v>
      </c>
      <c r="K21" s="1">
        <f>IFERROR(__xludf.DUMMYFUNCTION("""COMPUTED_VALUE"""),1.0)</f>
        <v>1</v>
      </c>
      <c r="L21" s="1">
        <f>IFERROR(__xludf.DUMMYFUNCTION("""COMPUTED_VALUE"""),1.0)</f>
        <v>1</v>
      </c>
      <c r="M21" s="1">
        <f>IFERROR(__xludf.DUMMYFUNCTION("""COMPUTED_VALUE"""),1.0)</f>
        <v>1</v>
      </c>
      <c r="N21" s="1">
        <f>IFERROR(__xludf.DUMMYFUNCTION("""COMPUTED_VALUE"""),1.0)</f>
        <v>1</v>
      </c>
      <c r="O21" s="1">
        <f>IFERROR(__xludf.DUMMYFUNCTION("""COMPUTED_VALUE"""),1.0)</f>
        <v>1</v>
      </c>
      <c r="P21" s="1"/>
      <c r="Q21" s="1">
        <f>IFERROR(__xludf.DUMMYFUNCTION("""COMPUTED_VALUE"""),5.0)</f>
        <v>5</v>
      </c>
      <c r="R21" s="1"/>
      <c r="S21" s="1"/>
      <c r="T21" s="1"/>
      <c r="U21" s="1">
        <f>IFERROR(__xludf.DUMMYFUNCTION("""COMPUTED_VALUE"""),5.0)</f>
        <v>5</v>
      </c>
      <c r="V21" s="1"/>
      <c r="W21" s="1"/>
      <c r="X21" s="1">
        <f>IFERROR(__xludf.DUMMYFUNCTION("""COMPUTED_VALUE"""),5.0)</f>
        <v>5</v>
      </c>
      <c r="Y21" s="1">
        <f>IFERROR(__xludf.DUMMYFUNCTION("""COMPUTED_VALUE"""),5.0)</f>
        <v>5</v>
      </c>
      <c r="Z21" s="1">
        <f>IFERROR(__xludf.DUMMYFUNCTION("""COMPUTED_VALUE"""),5.0)</f>
        <v>5</v>
      </c>
      <c r="AA21" s="1">
        <f>IFERROR(__xludf.DUMMYFUNCTION("""COMPUTED_VALUE"""),5.0)</f>
        <v>5</v>
      </c>
      <c r="AB21" s="1">
        <f>IFERROR(__xludf.DUMMYFUNCTION("""COMPUTED_VALUE"""),5.0)</f>
        <v>5</v>
      </c>
      <c r="AC21" s="1">
        <f>IFERROR(__xludf.DUMMYFUNCTION("""COMPUTED_VALUE"""),5.0)</f>
        <v>5</v>
      </c>
      <c r="AD21" s="1">
        <f>IFERROR(__xludf.DUMMYFUNCTION("""COMPUTED_VALUE"""),1.0)</f>
        <v>1</v>
      </c>
      <c r="AE21" s="1">
        <f>IFERROR(__xludf.DUMMYFUNCTION("""COMPUTED_VALUE"""),5.0)</f>
        <v>5</v>
      </c>
      <c r="AF21" s="1">
        <f>IFERROR(__xludf.DUMMYFUNCTION("""COMPUTED_VALUE"""),6.0)</f>
        <v>6</v>
      </c>
      <c r="AG21" s="1">
        <f>IFERROR(__xludf.DUMMYFUNCTION("""COMPUTED_VALUE"""),8.0)</f>
        <v>8</v>
      </c>
      <c r="AH21" s="1">
        <f>IFERROR(__xludf.DUMMYFUNCTION("""COMPUTED_VALUE"""),7.0)</f>
        <v>7</v>
      </c>
      <c r="AI21" s="1">
        <f>IFERROR(__xludf.DUMMYFUNCTION("""COMPUTED_VALUE"""),4.0)</f>
        <v>4</v>
      </c>
      <c r="AJ21" s="5">
        <f>IFERROR(__xludf.DUMMYFUNCTION("""COMPUTED_VALUE"""),0.0)</f>
        <v>0</v>
      </c>
      <c r="AK21" s="1">
        <f>IFERROR(__xludf.DUMMYFUNCTION("""COMPUTED_VALUE"""),14.0)</f>
        <v>14</v>
      </c>
      <c r="AL21" s="1">
        <f>IFERROR(__xludf.DUMMYFUNCTION("""COMPUTED_VALUE"""),3.0)</f>
        <v>3</v>
      </c>
      <c r="AM21" s="1">
        <f>IFERROR(__xludf.DUMMYFUNCTION("""COMPUTED_VALUE"""),1.8)</f>
        <v>1.8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>
      <c r="A22" s="1">
        <f>IFERROR(__xludf.DUMMYFUNCTION("""COMPUTED_VALUE"""),19.0)</f>
        <v>19</v>
      </c>
      <c r="B22" s="1" t="str">
        <f>IFERROR(__xludf.DUMMYFUNCTION("""COMPUTED_VALUE"""),"1000058014")</f>
        <v>1000058014</v>
      </c>
      <c r="C22" s="1" t="str">
        <f>IFERROR(__xludf.DUMMYFUNCTION("""COMPUTED_VALUE"""),"Maisha Iffat")</f>
        <v>Maisha Iffat</v>
      </c>
      <c r="D22" s="1" t="str">
        <f>IFERROR(__xludf.DUMMYFUNCTION("""COMPUTED_VALUE"""),"maisha.iffat@g.bracu.ac.bd")</f>
        <v>maisha.iffat@g.bracu.ac.bd</v>
      </c>
      <c r="E22" s="1" t="b">
        <f>IFERROR(__xludf.DUMMYFUNCTION("""COMPUTED_VALUE"""),FALSE)</f>
        <v>0</v>
      </c>
      <c r="F22" s="1">
        <f>IFERROR(__xludf.DUMMYFUNCTION("""COMPUTED_VALUE"""),7.0)</f>
        <v>7</v>
      </c>
      <c r="G22" s="1" t="str">
        <f>IFERROR(__xludf.DUMMYFUNCTION("""COMPUTED_VALUE"""),"BARRED")</f>
        <v>BARRED</v>
      </c>
      <c r="H22" s="1">
        <f>IFERROR(__xludf.DUMMYFUNCTION("""COMPUTED_VALUE"""),0.0)</f>
        <v>0</v>
      </c>
      <c r="I22" s="1">
        <f>IFERROR(__xludf.DUMMYFUNCTION("""COMPUTED_VALUE"""),0.0)</f>
        <v>0</v>
      </c>
      <c r="J22" s="1">
        <f>IFERROR(__xludf.DUMMYFUNCTION("""COMPUTED_VALUE"""),0.0)</f>
        <v>0</v>
      </c>
      <c r="K22" s="1">
        <f>IFERROR(__xludf.DUMMYFUNCTION("""COMPUTED_VALUE"""),0.0)</f>
        <v>0</v>
      </c>
      <c r="L22" s="1">
        <f>IFERROR(__xludf.DUMMYFUNCTION("""COMPUTED_VALUE"""),0.0)</f>
        <v>0</v>
      </c>
      <c r="M22" s="1">
        <f>IFERROR(__xludf.DUMMYFUNCTION("""COMPUTED_VALUE"""),0.0)</f>
        <v>0</v>
      </c>
      <c r="N22" s="1">
        <f>IFERROR(__xludf.DUMMYFUNCTION("""COMPUTED_VALUE"""),0.0)</f>
        <v>0</v>
      </c>
      <c r="O22" s="1">
        <f>IFERROR(__xludf.DUMMYFUNCTION("""COMPUTED_VALUE"""),0.0)</f>
        <v>0</v>
      </c>
      <c r="P22" s="1"/>
      <c r="Q22" s="1"/>
      <c r="R22" s="1"/>
      <c r="S22" s="1"/>
      <c r="T22" s="1"/>
      <c r="U22" s="1"/>
      <c r="V22" s="1"/>
      <c r="W22" s="1"/>
      <c r="X22" s="1"/>
      <c r="Y22" s="1">
        <f>IFERROR(__xludf.DUMMYFUNCTION("""COMPUTED_VALUE"""),0.0)</f>
        <v>0</v>
      </c>
      <c r="Z22" s="1"/>
      <c r="AA22" s="1">
        <f>IFERROR(__xludf.DUMMYFUNCTION("""COMPUTED_VALUE"""),0.0)</f>
        <v>0</v>
      </c>
      <c r="AB22" s="1"/>
      <c r="AC22" s="1"/>
      <c r="AD22" s="1"/>
      <c r="AE22" s="1"/>
      <c r="AF22" s="1"/>
      <c r="AG22" s="1"/>
      <c r="AH22" s="1"/>
      <c r="AI22" s="1"/>
      <c r="AJ22" s="5">
        <f>IFERROR(__xludf.DUMMYFUNCTION("""COMPUTED_VALUE"""),0.0)</f>
        <v>0</v>
      </c>
      <c r="AK22" s="1">
        <f>IFERROR(__xludf.DUMMYFUNCTION("""COMPUTED_VALUE"""),0.0)</f>
        <v>0</v>
      </c>
      <c r="AL22" s="1">
        <f>IFERROR(__xludf.DUMMYFUNCTION("""COMPUTED_VALUE"""),0.0)</f>
        <v>0</v>
      </c>
      <c r="AM22" s="1">
        <f>IFERROR(__xludf.DUMMYFUNCTION("""COMPUTED_VALUE"""),0.0)</f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>
      <c r="A23" s="1">
        <f>IFERROR(__xludf.DUMMYFUNCTION("""COMPUTED_VALUE"""),20.0)</f>
        <v>20</v>
      </c>
      <c r="B23" s="1" t="str">
        <f>IFERROR(__xludf.DUMMYFUNCTION("""COMPUTED_VALUE"""),"1000058129")</f>
        <v>1000058129</v>
      </c>
      <c r="C23" s="1" t="str">
        <f>IFERROR(__xludf.DUMMYFUNCTION("""COMPUTED_VALUE"""),"Syed Md Tanbin")</f>
        <v>Syed Md Tanbin</v>
      </c>
      <c r="D23" s="1" t="str">
        <f>IFERROR(__xludf.DUMMYFUNCTION("""COMPUTED_VALUE"""),"syed.md.tanbin@g.bracu.ac.bd")</f>
        <v>syed.md.tanbin@g.bracu.ac.bd</v>
      </c>
      <c r="E23" s="1" t="b">
        <f>IFERROR(__xludf.DUMMYFUNCTION("""COMPUTED_VALUE"""),TRUE)</f>
        <v>1</v>
      </c>
      <c r="F23" s="1">
        <f>IFERROR(__xludf.DUMMYFUNCTION("""COMPUTED_VALUE"""),1.0)</f>
        <v>1</v>
      </c>
      <c r="G23" s="1" t="str">
        <f>IFERROR(__xludf.DUMMYFUNCTION("""COMPUTED_VALUE"""),"WARNING")</f>
        <v>WARNING</v>
      </c>
      <c r="H23" s="1">
        <f>IFERROR(__xludf.DUMMYFUNCTION("""COMPUTED_VALUE"""),1.0)</f>
        <v>1</v>
      </c>
      <c r="I23" s="1">
        <f>IFERROR(__xludf.DUMMYFUNCTION("""COMPUTED_VALUE"""),1.0)</f>
        <v>1</v>
      </c>
      <c r="J23" s="1">
        <f>IFERROR(__xludf.DUMMYFUNCTION("""COMPUTED_VALUE"""),0.0)</f>
        <v>0</v>
      </c>
      <c r="K23" s="1">
        <f>IFERROR(__xludf.DUMMYFUNCTION("""COMPUTED_VALUE"""),1.0)</f>
        <v>1</v>
      </c>
      <c r="L23" s="1">
        <f>IFERROR(__xludf.DUMMYFUNCTION("""COMPUTED_VALUE"""),1.0)</f>
        <v>1</v>
      </c>
      <c r="M23" s="1">
        <f>IFERROR(__xludf.DUMMYFUNCTION("""COMPUTED_VALUE"""),1.0)</f>
        <v>1</v>
      </c>
      <c r="N23" s="1">
        <f>IFERROR(__xludf.DUMMYFUNCTION("""COMPUTED_VALUE"""),1.0)</f>
        <v>1</v>
      </c>
      <c r="O23" s="1">
        <f>IFERROR(__xludf.DUMMYFUNCTION("""COMPUTED_VALUE"""),1.0)</f>
        <v>1</v>
      </c>
      <c r="P23" s="1"/>
      <c r="Q23" s="1">
        <f>IFERROR(__xludf.DUMMYFUNCTION("""COMPUTED_VALUE"""),3.5)</f>
        <v>3.5</v>
      </c>
      <c r="R23" s="1"/>
      <c r="S23" s="1"/>
      <c r="T23" s="1"/>
      <c r="U23" s="1">
        <f>IFERROR(__xludf.DUMMYFUNCTION("""COMPUTED_VALUE"""),5.0)</f>
        <v>5</v>
      </c>
      <c r="V23" s="1"/>
      <c r="W23" s="1"/>
      <c r="X23" s="1"/>
      <c r="Y23" s="1">
        <f>IFERROR(__xludf.DUMMYFUNCTION("""COMPUTED_VALUE"""),0.0)</f>
        <v>0</v>
      </c>
      <c r="Z23" s="1"/>
      <c r="AA23" s="1">
        <f>IFERROR(__xludf.DUMMYFUNCTION("""COMPUTED_VALUE"""),0.0)</f>
        <v>0</v>
      </c>
      <c r="AB23" s="1">
        <f>IFERROR(__xludf.DUMMYFUNCTION("""COMPUTED_VALUE"""),4.0)</f>
        <v>4</v>
      </c>
      <c r="AC23" s="1">
        <f>IFERROR(__xludf.DUMMYFUNCTION("""COMPUTED_VALUE"""),4.0)</f>
        <v>4</v>
      </c>
      <c r="AD23" s="1">
        <f>IFERROR(__xludf.DUMMYFUNCTION("""COMPUTED_VALUE"""),4.0)</f>
        <v>4</v>
      </c>
      <c r="AE23" s="1"/>
      <c r="AF23" s="1"/>
      <c r="AG23" s="1">
        <f>IFERROR(__xludf.DUMMYFUNCTION("""COMPUTED_VALUE"""),4.0)</f>
        <v>4</v>
      </c>
      <c r="AH23" s="1">
        <f>IFERROR(__xludf.DUMMYFUNCTION("""COMPUTED_VALUE"""),1.75)</f>
        <v>1.75</v>
      </c>
      <c r="AI23" s="1">
        <f>IFERROR(__xludf.DUMMYFUNCTION("""COMPUTED_VALUE"""),2.0)</f>
        <v>2</v>
      </c>
      <c r="AJ23" s="5">
        <f>IFERROR(__xludf.DUMMYFUNCTION("""COMPUTED_VALUE"""),0.0)</f>
        <v>0</v>
      </c>
      <c r="AK23" s="1">
        <f>IFERROR(__xludf.DUMMYFUNCTION("""COMPUTED_VALUE"""),5.167)</f>
        <v>5.167</v>
      </c>
      <c r="AL23" s="1">
        <f>IFERROR(__xludf.DUMMYFUNCTION("""COMPUTED_VALUE"""),2.55)</f>
        <v>2.55</v>
      </c>
      <c r="AM23" s="1">
        <f>IFERROR(__xludf.DUMMYFUNCTION("""COMPUTED_VALUE"""),0.6)</f>
        <v>0.6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>
      <c r="A24" s="1">
        <f>IFERROR(__xludf.DUMMYFUNCTION("""COMPUTED_VALUE"""),21.0)</f>
        <v>21</v>
      </c>
      <c r="B24" s="1" t="str">
        <f>IFERROR(__xludf.DUMMYFUNCTION("""COMPUTED_VALUE"""),"1000058773")</f>
        <v>1000058773</v>
      </c>
      <c r="C24" s="1" t="str">
        <f>IFERROR(__xludf.DUMMYFUNCTION("""COMPUTED_VALUE"""),"Mohammad Ismail Arafat")</f>
        <v>Mohammad Ismail Arafat</v>
      </c>
      <c r="D24" s="1" t="str">
        <f>IFERROR(__xludf.DUMMYFUNCTION("""COMPUTED_VALUE"""),"mohammad.ismail.arafat@g.bracu.ac.bd")</f>
        <v>mohammad.ismail.arafat@g.bracu.ac.bd</v>
      </c>
      <c r="E24" s="1" t="b">
        <f>IFERROR(__xludf.DUMMYFUNCTION("""COMPUTED_VALUE"""),TRUE)</f>
        <v>1</v>
      </c>
      <c r="F24" s="1">
        <f>IFERROR(__xludf.DUMMYFUNCTION("""COMPUTED_VALUE"""),0.0)</f>
        <v>0</v>
      </c>
      <c r="G24" s="1" t="str">
        <f>IFERROR(__xludf.DUMMYFUNCTION("""COMPUTED_VALUE"""),"OKAY")</f>
        <v>OKAY</v>
      </c>
      <c r="H24" s="1">
        <f>IFERROR(__xludf.DUMMYFUNCTION("""COMPUTED_VALUE"""),1.0)</f>
        <v>1</v>
      </c>
      <c r="I24" s="1">
        <f>IFERROR(__xludf.DUMMYFUNCTION("""COMPUTED_VALUE"""),1.0)</f>
        <v>1</v>
      </c>
      <c r="J24" s="1">
        <f>IFERROR(__xludf.DUMMYFUNCTION("""COMPUTED_VALUE"""),1.0)</f>
        <v>1</v>
      </c>
      <c r="K24" s="1">
        <f>IFERROR(__xludf.DUMMYFUNCTION("""COMPUTED_VALUE"""),1.0)</f>
        <v>1</v>
      </c>
      <c r="L24" s="1">
        <f>IFERROR(__xludf.DUMMYFUNCTION("""COMPUTED_VALUE"""),1.0)</f>
        <v>1</v>
      </c>
      <c r="M24" s="1">
        <f>IFERROR(__xludf.DUMMYFUNCTION("""COMPUTED_VALUE"""),1.0)</f>
        <v>1</v>
      </c>
      <c r="N24" s="1">
        <f>IFERROR(__xludf.DUMMYFUNCTION("""COMPUTED_VALUE"""),1.0)</f>
        <v>1</v>
      </c>
      <c r="O24" s="1">
        <f>IFERROR(__xludf.DUMMYFUNCTION("""COMPUTED_VALUE"""),1.0)</f>
        <v>1</v>
      </c>
      <c r="P24" s="1"/>
      <c r="Q24" s="1">
        <f>IFERROR(__xludf.DUMMYFUNCTION("""COMPUTED_VALUE"""),5.0)</f>
        <v>5</v>
      </c>
      <c r="R24" s="1"/>
      <c r="S24" s="1"/>
      <c r="T24" s="1"/>
      <c r="U24" s="1">
        <f>IFERROR(__xludf.DUMMYFUNCTION("""COMPUTED_VALUE"""),5.0)</f>
        <v>5</v>
      </c>
      <c r="V24" s="1"/>
      <c r="W24" s="1"/>
      <c r="X24" s="1">
        <f>IFERROR(__xludf.DUMMYFUNCTION("""COMPUTED_VALUE"""),5.0)</f>
        <v>5</v>
      </c>
      <c r="Y24" s="1">
        <f>IFERROR(__xludf.DUMMYFUNCTION("""COMPUTED_VALUE"""),5.0)</f>
        <v>5</v>
      </c>
      <c r="Z24" s="1">
        <f>IFERROR(__xludf.DUMMYFUNCTION("""COMPUTED_VALUE"""),5.0)</f>
        <v>5</v>
      </c>
      <c r="AA24" s="1">
        <f>IFERROR(__xludf.DUMMYFUNCTION("""COMPUTED_VALUE"""),5.0)</f>
        <v>5</v>
      </c>
      <c r="AB24" s="1">
        <f>IFERROR(__xludf.DUMMYFUNCTION("""COMPUTED_VALUE"""),5.0)</f>
        <v>5</v>
      </c>
      <c r="AC24" s="1">
        <f>IFERROR(__xludf.DUMMYFUNCTION("""COMPUTED_VALUE"""),5.0)</f>
        <v>5</v>
      </c>
      <c r="AD24" s="1">
        <f>IFERROR(__xludf.DUMMYFUNCTION("""COMPUTED_VALUE"""),5.0)</f>
        <v>5</v>
      </c>
      <c r="AE24" s="1">
        <f>IFERROR(__xludf.DUMMYFUNCTION("""COMPUTED_VALUE"""),5.0)</f>
        <v>5</v>
      </c>
      <c r="AF24" s="1">
        <f>IFERROR(__xludf.DUMMYFUNCTION("""COMPUTED_VALUE"""),9.5)</f>
        <v>9.5</v>
      </c>
      <c r="AG24" s="1">
        <f>IFERROR(__xludf.DUMMYFUNCTION("""COMPUTED_VALUE"""),9.5)</f>
        <v>9.5</v>
      </c>
      <c r="AH24" s="1">
        <f>IFERROR(__xludf.DUMMYFUNCTION("""COMPUTED_VALUE"""),9.0)</f>
        <v>9</v>
      </c>
      <c r="AI24" s="1">
        <f>IFERROR(__xludf.DUMMYFUNCTION("""COMPUTED_VALUE"""),4.0)</f>
        <v>4</v>
      </c>
      <c r="AJ24" s="5">
        <f>IFERROR(__xludf.DUMMYFUNCTION("""COMPUTED_VALUE"""),0.0)</f>
        <v>0</v>
      </c>
      <c r="AK24" s="1">
        <f>IFERROR(__xludf.DUMMYFUNCTION("""COMPUTED_VALUE"""),18.667)</f>
        <v>18.667</v>
      </c>
      <c r="AL24" s="1">
        <f>IFERROR(__xludf.DUMMYFUNCTION("""COMPUTED_VALUE"""),3.0)</f>
        <v>3</v>
      </c>
      <c r="AM24" s="1">
        <f>IFERROR(__xludf.DUMMYFUNCTION("""COMPUTED_VALUE"""),2.0)</f>
        <v>2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>
      <c r="A25" s="1">
        <f>IFERROR(__xludf.DUMMYFUNCTION("""COMPUTED_VALUE"""),22.0)</f>
        <v>22</v>
      </c>
      <c r="B25" s="1" t="str">
        <f>IFERROR(__xludf.DUMMYFUNCTION("""COMPUTED_VALUE"""),"1000058823")</f>
        <v>1000058823</v>
      </c>
      <c r="C25" s="1" t="str">
        <f>IFERROR(__xludf.DUMMYFUNCTION("""COMPUTED_VALUE"""),"Tahmeed Tajwaar")</f>
        <v>Tahmeed Tajwaar</v>
      </c>
      <c r="D25" s="1" t="str">
        <f>IFERROR(__xludf.DUMMYFUNCTION("""COMPUTED_VALUE"""),"tahmeed.tajwaar@g.bracu.ac.bd")</f>
        <v>tahmeed.tajwaar@g.bracu.ac.bd</v>
      </c>
      <c r="E25" s="1" t="b">
        <f>IFERROR(__xludf.DUMMYFUNCTION("""COMPUTED_VALUE"""),TRUE)</f>
        <v>1</v>
      </c>
      <c r="F25" s="1">
        <f>IFERROR(__xludf.DUMMYFUNCTION("""COMPUTED_VALUE"""),0.0)</f>
        <v>0</v>
      </c>
      <c r="G25" s="1" t="str">
        <f>IFERROR(__xludf.DUMMYFUNCTION("""COMPUTED_VALUE"""),"OKAY")</f>
        <v>OKAY</v>
      </c>
      <c r="H25" s="1">
        <f>IFERROR(__xludf.DUMMYFUNCTION("""COMPUTED_VALUE"""),1.0)</f>
        <v>1</v>
      </c>
      <c r="I25" s="1">
        <f>IFERROR(__xludf.DUMMYFUNCTION("""COMPUTED_VALUE"""),1.0)</f>
        <v>1</v>
      </c>
      <c r="J25" s="1">
        <f>IFERROR(__xludf.DUMMYFUNCTION("""COMPUTED_VALUE"""),1.0)</f>
        <v>1</v>
      </c>
      <c r="K25" s="1">
        <f>IFERROR(__xludf.DUMMYFUNCTION("""COMPUTED_VALUE"""),1.0)</f>
        <v>1</v>
      </c>
      <c r="L25" s="1">
        <f>IFERROR(__xludf.DUMMYFUNCTION("""COMPUTED_VALUE"""),1.0)</f>
        <v>1</v>
      </c>
      <c r="M25" s="1">
        <f>IFERROR(__xludf.DUMMYFUNCTION("""COMPUTED_VALUE"""),1.0)</f>
        <v>1</v>
      </c>
      <c r="N25" s="1">
        <f>IFERROR(__xludf.DUMMYFUNCTION("""COMPUTED_VALUE"""),1.0)</f>
        <v>1</v>
      </c>
      <c r="O25" s="1">
        <f>IFERROR(__xludf.DUMMYFUNCTION("""COMPUTED_VALUE"""),1.0)</f>
        <v>1</v>
      </c>
      <c r="P25" s="1"/>
      <c r="Q25" s="1">
        <f>IFERROR(__xludf.DUMMYFUNCTION("""COMPUTED_VALUE"""),5.0)</f>
        <v>5</v>
      </c>
      <c r="R25" s="1"/>
      <c r="S25" s="1"/>
      <c r="T25" s="1"/>
      <c r="U25" s="1">
        <f>IFERROR(__xludf.DUMMYFUNCTION("""COMPUTED_VALUE"""),5.0)</f>
        <v>5</v>
      </c>
      <c r="V25" s="1"/>
      <c r="W25" s="1"/>
      <c r="X25" s="1">
        <f>IFERROR(__xludf.DUMMYFUNCTION("""COMPUTED_VALUE"""),5.0)</f>
        <v>5</v>
      </c>
      <c r="Y25" s="1">
        <f>IFERROR(__xludf.DUMMYFUNCTION("""COMPUTED_VALUE"""),5.0)</f>
        <v>5</v>
      </c>
      <c r="Z25" s="1">
        <f>IFERROR(__xludf.DUMMYFUNCTION("""COMPUTED_VALUE"""),5.0)</f>
        <v>5</v>
      </c>
      <c r="AA25" s="1">
        <f>IFERROR(__xludf.DUMMYFUNCTION("""COMPUTED_VALUE"""),1.0)</f>
        <v>1</v>
      </c>
      <c r="AB25" s="1">
        <f>IFERROR(__xludf.DUMMYFUNCTION("""COMPUTED_VALUE"""),5.0)</f>
        <v>5</v>
      </c>
      <c r="AC25" s="1">
        <f>IFERROR(__xludf.DUMMYFUNCTION("""COMPUTED_VALUE"""),5.0)</f>
        <v>5</v>
      </c>
      <c r="AD25" s="1">
        <f>IFERROR(__xludf.DUMMYFUNCTION("""COMPUTED_VALUE"""),5.0)</f>
        <v>5</v>
      </c>
      <c r="AE25" s="1">
        <f>IFERROR(__xludf.DUMMYFUNCTION("""COMPUTED_VALUE"""),5.0)</f>
        <v>5</v>
      </c>
      <c r="AF25" s="1">
        <f>IFERROR(__xludf.DUMMYFUNCTION("""COMPUTED_VALUE"""),7.0)</f>
        <v>7</v>
      </c>
      <c r="AG25" s="1">
        <f>IFERROR(__xludf.DUMMYFUNCTION("""COMPUTED_VALUE"""),9.75)</f>
        <v>9.75</v>
      </c>
      <c r="AH25" s="1">
        <f>IFERROR(__xludf.DUMMYFUNCTION("""COMPUTED_VALUE"""),8.75)</f>
        <v>8.75</v>
      </c>
      <c r="AI25" s="1">
        <f>IFERROR(__xludf.DUMMYFUNCTION("""COMPUTED_VALUE"""),9.0)</f>
        <v>9</v>
      </c>
      <c r="AJ25" s="5">
        <f>IFERROR(__xludf.DUMMYFUNCTION("""COMPUTED_VALUE"""),0.0)</f>
        <v>0</v>
      </c>
      <c r="AK25" s="1">
        <f>IFERROR(__xludf.DUMMYFUNCTION("""COMPUTED_VALUE"""),18.334)</f>
        <v>18.334</v>
      </c>
      <c r="AL25" s="1">
        <f>IFERROR(__xludf.DUMMYFUNCTION("""COMPUTED_VALUE"""),3.0)</f>
        <v>3</v>
      </c>
      <c r="AM25" s="1">
        <f>IFERROR(__xludf.DUMMYFUNCTION("""COMPUTED_VALUE"""),1.8)</f>
        <v>1.8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>
      <c r="A26" s="1">
        <f>IFERROR(__xludf.DUMMYFUNCTION("""COMPUTED_VALUE"""),23.0)</f>
        <v>23</v>
      </c>
      <c r="B26" s="1" t="str">
        <f>IFERROR(__xludf.DUMMYFUNCTION("""COMPUTED_VALUE"""),"1000058883")</f>
        <v>1000058883</v>
      </c>
      <c r="C26" s="1" t="str">
        <f>IFERROR(__xludf.DUMMYFUNCTION("""COMPUTED_VALUE"""),"Mayisa Fabi Arpita")</f>
        <v>Mayisa Fabi Arpita</v>
      </c>
      <c r="D26" s="1" t="str">
        <f>IFERROR(__xludf.DUMMYFUNCTION("""COMPUTED_VALUE"""),"mayisa.fabi.arpita@g.bracu.ac.bd")</f>
        <v>mayisa.fabi.arpita@g.bracu.ac.bd</v>
      </c>
      <c r="E26" s="1" t="b">
        <f>IFERROR(__xludf.DUMMYFUNCTION("""COMPUTED_VALUE"""),TRUE)</f>
        <v>1</v>
      </c>
      <c r="F26" s="1">
        <f>IFERROR(__xludf.DUMMYFUNCTION("""COMPUTED_VALUE"""),0.0)</f>
        <v>0</v>
      </c>
      <c r="G26" s="1" t="str">
        <f>IFERROR(__xludf.DUMMYFUNCTION("""COMPUTED_VALUE"""),"OKAY")</f>
        <v>OKAY</v>
      </c>
      <c r="H26" s="1">
        <f>IFERROR(__xludf.DUMMYFUNCTION("""COMPUTED_VALUE"""),1.0)</f>
        <v>1</v>
      </c>
      <c r="I26" s="1">
        <f>IFERROR(__xludf.DUMMYFUNCTION("""COMPUTED_VALUE"""),1.0)</f>
        <v>1</v>
      </c>
      <c r="J26" s="1">
        <f>IFERROR(__xludf.DUMMYFUNCTION("""COMPUTED_VALUE"""),1.0)</f>
        <v>1</v>
      </c>
      <c r="K26" s="1">
        <f>IFERROR(__xludf.DUMMYFUNCTION("""COMPUTED_VALUE"""),1.0)</f>
        <v>1</v>
      </c>
      <c r="L26" s="1">
        <f>IFERROR(__xludf.DUMMYFUNCTION("""COMPUTED_VALUE"""),1.0)</f>
        <v>1</v>
      </c>
      <c r="M26" s="1">
        <f>IFERROR(__xludf.DUMMYFUNCTION("""COMPUTED_VALUE"""),1.0)</f>
        <v>1</v>
      </c>
      <c r="N26" s="1">
        <f>IFERROR(__xludf.DUMMYFUNCTION("""COMPUTED_VALUE"""),1.0)</f>
        <v>1</v>
      </c>
      <c r="O26" s="1">
        <f>IFERROR(__xludf.DUMMYFUNCTION("""COMPUTED_VALUE"""),1.0)</f>
        <v>1</v>
      </c>
      <c r="P26" s="1"/>
      <c r="Q26" s="1">
        <f>IFERROR(__xludf.DUMMYFUNCTION("""COMPUTED_VALUE"""),5.0)</f>
        <v>5</v>
      </c>
      <c r="R26" s="1"/>
      <c r="S26" s="1"/>
      <c r="T26" s="1"/>
      <c r="U26" s="1">
        <f>IFERROR(__xludf.DUMMYFUNCTION("""COMPUTED_VALUE"""),5.0)</f>
        <v>5</v>
      </c>
      <c r="V26" s="1"/>
      <c r="W26" s="1"/>
      <c r="X26" s="1">
        <f>IFERROR(__xludf.DUMMYFUNCTION("""COMPUTED_VALUE"""),5.0)</f>
        <v>5</v>
      </c>
      <c r="Y26" s="1">
        <f>IFERROR(__xludf.DUMMYFUNCTION("""COMPUTED_VALUE"""),5.0)</f>
        <v>5</v>
      </c>
      <c r="Z26" s="1">
        <f>IFERROR(__xludf.DUMMYFUNCTION("""COMPUTED_VALUE"""),5.0)</f>
        <v>5</v>
      </c>
      <c r="AA26" s="1">
        <f>IFERROR(__xludf.DUMMYFUNCTION("""COMPUTED_VALUE"""),5.0)</f>
        <v>5</v>
      </c>
      <c r="AB26" s="1">
        <f>IFERROR(__xludf.DUMMYFUNCTION("""COMPUTED_VALUE"""),5.0)</f>
        <v>5</v>
      </c>
      <c r="AC26" s="1">
        <f>IFERROR(__xludf.DUMMYFUNCTION("""COMPUTED_VALUE"""),5.0)</f>
        <v>5</v>
      </c>
      <c r="AD26" s="1">
        <f>IFERROR(__xludf.DUMMYFUNCTION("""COMPUTED_VALUE"""),5.0)</f>
        <v>5</v>
      </c>
      <c r="AE26" s="1">
        <f>IFERROR(__xludf.DUMMYFUNCTION("""COMPUTED_VALUE"""),5.0)</f>
        <v>5</v>
      </c>
      <c r="AF26" s="1">
        <f>IFERROR(__xludf.DUMMYFUNCTION("""COMPUTED_VALUE"""),6.0)</f>
        <v>6</v>
      </c>
      <c r="AG26" s="1">
        <f>IFERROR(__xludf.DUMMYFUNCTION("""COMPUTED_VALUE"""),7.5)</f>
        <v>7.5</v>
      </c>
      <c r="AH26" s="1">
        <f>IFERROR(__xludf.DUMMYFUNCTION("""COMPUTED_VALUE"""),4.5)</f>
        <v>4.5</v>
      </c>
      <c r="AI26" s="1">
        <f>IFERROR(__xludf.DUMMYFUNCTION("""COMPUTED_VALUE"""),7.0)</f>
        <v>7</v>
      </c>
      <c r="AJ26" s="5">
        <f>IFERROR(__xludf.DUMMYFUNCTION("""COMPUTED_VALUE"""),0.0)</f>
        <v>0</v>
      </c>
      <c r="AK26" s="1">
        <f>IFERROR(__xludf.DUMMYFUNCTION("""COMPUTED_VALUE"""),13.667)</f>
        <v>13.667</v>
      </c>
      <c r="AL26" s="1">
        <f>IFERROR(__xludf.DUMMYFUNCTION("""COMPUTED_VALUE"""),3.0)</f>
        <v>3</v>
      </c>
      <c r="AM26" s="1">
        <f>IFERROR(__xludf.DUMMYFUNCTION("""COMPUTED_VALUE"""),2.0)</f>
        <v>2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>
      <c r="A27" s="1">
        <f>IFERROR(__xludf.DUMMYFUNCTION("""COMPUTED_VALUE"""),24.0)</f>
        <v>24</v>
      </c>
      <c r="B27" s="1" t="str">
        <f>IFERROR(__xludf.DUMMYFUNCTION("""COMPUTED_VALUE"""),"1000058884")</f>
        <v>1000058884</v>
      </c>
      <c r="C27" s="1" t="str">
        <f>IFERROR(__xludf.DUMMYFUNCTION("""COMPUTED_VALUE"""),"C M Isfar Jamee")</f>
        <v>C M Isfar Jamee</v>
      </c>
      <c r="D27" s="1" t="str">
        <f>IFERROR(__xludf.DUMMYFUNCTION("""COMPUTED_VALUE"""),"cm.isfar.jamee@g.bracu.ac.bd")</f>
        <v>cm.isfar.jamee@g.bracu.ac.bd</v>
      </c>
      <c r="E27" s="1" t="b">
        <f>IFERROR(__xludf.DUMMYFUNCTION("""COMPUTED_VALUE"""),TRUE)</f>
        <v>1</v>
      </c>
      <c r="F27" s="1">
        <f>IFERROR(__xludf.DUMMYFUNCTION("""COMPUTED_VALUE"""),0.0)</f>
        <v>0</v>
      </c>
      <c r="G27" s="1" t="str">
        <f>IFERROR(__xludf.DUMMYFUNCTION("""COMPUTED_VALUE"""),"OKAY")</f>
        <v>OKAY</v>
      </c>
      <c r="H27" s="1">
        <f>IFERROR(__xludf.DUMMYFUNCTION("""COMPUTED_VALUE"""),1.0)</f>
        <v>1</v>
      </c>
      <c r="I27" s="1">
        <f>IFERROR(__xludf.DUMMYFUNCTION("""COMPUTED_VALUE"""),1.0)</f>
        <v>1</v>
      </c>
      <c r="J27" s="1">
        <f>IFERROR(__xludf.DUMMYFUNCTION("""COMPUTED_VALUE"""),1.0)</f>
        <v>1</v>
      </c>
      <c r="K27" s="1">
        <f>IFERROR(__xludf.DUMMYFUNCTION("""COMPUTED_VALUE"""),1.0)</f>
        <v>1</v>
      </c>
      <c r="L27" s="1">
        <f>IFERROR(__xludf.DUMMYFUNCTION("""COMPUTED_VALUE"""),1.0)</f>
        <v>1</v>
      </c>
      <c r="M27" s="1">
        <f>IFERROR(__xludf.DUMMYFUNCTION("""COMPUTED_VALUE"""),1.0)</f>
        <v>1</v>
      </c>
      <c r="N27" s="1">
        <f>IFERROR(__xludf.DUMMYFUNCTION("""COMPUTED_VALUE"""),1.0)</f>
        <v>1</v>
      </c>
      <c r="O27" s="1">
        <f>IFERROR(__xludf.DUMMYFUNCTION("""COMPUTED_VALUE"""),1.0)</f>
        <v>1</v>
      </c>
      <c r="P27" s="1"/>
      <c r="Q27" s="1">
        <f>IFERROR(__xludf.DUMMYFUNCTION("""COMPUTED_VALUE"""),5.0)</f>
        <v>5</v>
      </c>
      <c r="R27" s="1"/>
      <c r="S27" s="1"/>
      <c r="T27" s="1"/>
      <c r="U27" s="1">
        <f>IFERROR(__xludf.DUMMYFUNCTION("""COMPUTED_VALUE"""),5.0)</f>
        <v>5</v>
      </c>
      <c r="V27" s="1"/>
      <c r="W27" s="1"/>
      <c r="X27" s="1">
        <f>IFERROR(__xludf.DUMMYFUNCTION("""COMPUTED_VALUE"""),3.0)</f>
        <v>3</v>
      </c>
      <c r="Y27" s="1">
        <f>IFERROR(__xludf.DUMMYFUNCTION("""COMPUTED_VALUE"""),5.0)</f>
        <v>5</v>
      </c>
      <c r="Z27" s="1">
        <f>IFERROR(__xludf.DUMMYFUNCTION("""COMPUTED_VALUE"""),5.0)</f>
        <v>5</v>
      </c>
      <c r="AA27" s="1">
        <f>IFERROR(__xludf.DUMMYFUNCTION("""COMPUTED_VALUE"""),1.0)</f>
        <v>1</v>
      </c>
      <c r="AB27" s="1">
        <f>IFERROR(__xludf.DUMMYFUNCTION("""COMPUTED_VALUE"""),5.0)</f>
        <v>5</v>
      </c>
      <c r="AC27" s="1">
        <f>IFERROR(__xludf.DUMMYFUNCTION("""COMPUTED_VALUE"""),5.0)</f>
        <v>5</v>
      </c>
      <c r="AD27" s="1">
        <f>IFERROR(__xludf.DUMMYFUNCTION("""COMPUTED_VALUE"""),5.0)</f>
        <v>5</v>
      </c>
      <c r="AE27" s="1">
        <f>IFERROR(__xludf.DUMMYFUNCTION("""COMPUTED_VALUE"""),5.0)</f>
        <v>5</v>
      </c>
      <c r="AF27" s="1">
        <f>IFERROR(__xludf.DUMMYFUNCTION("""COMPUTED_VALUE"""),2.0)</f>
        <v>2</v>
      </c>
      <c r="AG27" s="1">
        <f>IFERROR(__xludf.DUMMYFUNCTION("""COMPUTED_VALUE"""),4.5)</f>
        <v>4.5</v>
      </c>
      <c r="AH27" s="1">
        <f>IFERROR(__xludf.DUMMYFUNCTION("""COMPUTED_VALUE"""),7.25)</f>
        <v>7.25</v>
      </c>
      <c r="AI27" s="1">
        <f>IFERROR(__xludf.DUMMYFUNCTION("""COMPUTED_VALUE"""),4.0)</f>
        <v>4</v>
      </c>
      <c r="AJ27" s="5">
        <f>IFERROR(__xludf.DUMMYFUNCTION("""COMPUTED_VALUE"""),0.0)</f>
        <v>0</v>
      </c>
      <c r="AK27" s="1">
        <f>IFERROR(__xludf.DUMMYFUNCTION("""COMPUTED_VALUE"""),10.5)</f>
        <v>10.5</v>
      </c>
      <c r="AL27" s="1">
        <f>IFERROR(__xludf.DUMMYFUNCTION("""COMPUTED_VALUE"""),3.0)</f>
        <v>3</v>
      </c>
      <c r="AM27" s="1">
        <f>IFERROR(__xludf.DUMMYFUNCTION("""COMPUTED_VALUE"""),1.7)</f>
        <v>1.7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>
      <c r="A28" s="1">
        <f>IFERROR(__xludf.DUMMYFUNCTION("""COMPUTED_VALUE"""),25.0)</f>
        <v>25</v>
      </c>
      <c r="B28" s="1" t="str">
        <f>IFERROR(__xludf.DUMMYFUNCTION("""COMPUTED_VALUE"""),"1000058965")</f>
        <v>1000058965</v>
      </c>
      <c r="C28" s="1" t="str">
        <f>IFERROR(__xludf.DUMMYFUNCTION("""COMPUTED_VALUE"""),"Mohammad Tanvirul Huda")</f>
        <v>Mohammad Tanvirul Huda</v>
      </c>
      <c r="D28" s="1" t="str">
        <f>IFERROR(__xludf.DUMMYFUNCTION("""COMPUTED_VALUE"""),"mohammad.tanvirul.huda@g.bracu.ac.bd")</f>
        <v>mohammad.tanvirul.huda@g.bracu.ac.bd</v>
      </c>
      <c r="E28" s="1" t="b">
        <f>IFERROR(__xludf.DUMMYFUNCTION("""COMPUTED_VALUE"""),TRUE)</f>
        <v>1</v>
      </c>
      <c r="F28" s="1">
        <f>IFERROR(__xludf.DUMMYFUNCTION("""COMPUTED_VALUE"""),0.0)</f>
        <v>0</v>
      </c>
      <c r="G28" s="1" t="str">
        <f>IFERROR(__xludf.DUMMYFUNCTION("""COMPUTED_VALUE"""),"OKAY")</f>
        <v>OKAY</v>
      </c>
      <c r="H28" s="1">
        <f>IFERROR(__xludf.DUMMYFUNCTION("""COMPUTED_VALUE"""),1.0)</f>
        <v>1</v>
      </c>
      <c r="I28" s="1">
        <f>IFERROR(__xludf.DUMMYFUNCTION("""COMPUTED_VALUE"""),1.0)</f>
        <v>1</v>
      </c>
      <c r="J28" s="1">
        <f>IFERROR(__xludf.DUMMYFUNCTION("""COMPUTED_VALUE"""),1.0)</f>
        <v>1</v>
      </c>
      <c r="K28" s="1">
        <f>IFERROR(__xludf.DUMMYFUNCTION("""COMPUTED_VALUE"""),1.0)</f>
        <v>1</v>
      </c>
      <c r="L28" s="1">
        <f>IFERROR(__xludf.DUMMYFUNCTION("""COMPUTED_VALUE"""),1.0)</f>
        <v>1</v>
      </c>
      <c r="M28" s="1">
        <f>IFERROR(__xludf.DUMMYFUNCTION("""COMPUTED_VALUE"""),1.0)</f>
        <v>1</v>
      </c>
      <c r="N28" s="1">
        <f>IFERROR(__xludf.DUMMYFUNCTION("""COMPUTED_VALUE"""),1.0)</f>
        <v>1</v>
      </c>
      <c r="O28" s="1">
        <f>IFERROR(__xludf.DUMMYFUNCTION("""COMPUTED_VALUE"""),1.0)</f>
        <v>1</v>
      </c>
      <c r="P28" s="1"/>
      <c r="Q28" s="1">
        <f>IFERROR(__xludf.DUMMYFUNCTION("""COMPUTED_VALUE"""),5.0)</f>
        <v>5</v>
      </c>
      <c r="R28" s="1"/>
      <c r="S28" s="1"/>
      <c r="T28" s="1"/>
      <c r="U28" s="1">
        <f>IFERROR(__xludf.DUMMYFUNCTION("""COMPUTED_VALUE"""),5.0)</f>
        <v>5</v>
      </c>
      <c r="V28" s="1"/>
      <c r="W28" s="1"/>
      <c r="X28" s="1">
        <f>IFERROR(__xludf.DUMMYFUNCTION("""COMPUTED_VALUE"""),5.0)</f>
        <v>5</v>
      </c>
      <c r="Y28" s="1">
        <f>IFERROR(__xludf.DUMMYFUNCTION("""COMPUTED_VALUE"""),5.0)</f>
        <v>5</v>
      </c>
      <c r="Z28" s="1">
        <f>IFERROR(__xludf.DUMMYFUNCTION("""COMPUTED_VALUE"""),5.0)</f>
        <v>5</v>
      </c>
      <c r="AA28" s="1">
        <f>IFERROR(__xludf.DUMMYFUNCTION("""COMPUTED_VALUE"""),1.0)</f>
        <v>1</v>
      </c>
      <c r="AB28" s="1">
        <f>IFERROR(__xludf.DUMMYFUNCTION("""COMPUTED_VALUE"""),5.0)</f>
        <v>5</v>
      </c>
      <c r="AC28" s="1">
        <f>IFERROR(__xludf.DUMMYFUNCTION("""COMPUTED_VALUE"""),5.0)</f>
        <v>5</v>
      </c>
      <c r="AD28" s="1">
        <f>IFERROR(__xludf.DUMMYFUNCTION("""COMPUTED_VALUE"""),5.0)</f>
        <v>5</v>
      </c>
      <c r="AE28" s="1">
        <f>IFERROR(__xludf.DUMMYFUNCTION("""COMPUTED_VALUE"""),5.0)</f>
        <v>5</v>
      </c>
      <c r="AF28" s="1">
        <f>IFERROR(__xludf.DUMMYFUNCTION("""COMPUTED_VALUE"""),5.5)</f>
        <v>5.5</v>
      </c>
      <c r="AG28" s="1">
        <f>IFERROR(__xludf.DUMMYFUNCTION("""COMPUTED_VALUE"""),3.5)</f>
        <v>3.5</v>
      </c>
      <c r="AH28" s="1">
        <f>IFERROR(__xludf.DUMMYFUNCTION("""COMPUTED_VALUE"""),6.75)</f>
        <v>6.75</v>
      </c>
      <c r="AI28" s="1">
        <f>IFERROR(__xludf.DUMMYFUNCTION("""COMPUTED_VALUE"""),1.0)</f>
        <v>1</v>
      </c>
      <c r="AJ28" s="5">
        <f>IFERROR(__xludf.DUMMYFUNCTION("""COMPUTED_VALUE"""),0.0)</f>
        <v>0</v>
      </c>
      <c r="AK28" s="1">
        <f>IFERROR(__xludf.DUMMYFUNCTION("""COMPUTED_VALUE"""),10.5)</f>
        <v>10.5</v>
      </c>
      <c r="AL28" s="1">
        <f>IFERROR(__xludf.DUMMYFUNCTION("""COMPUTED_VALUE"""),3.0)</f>
        <v>3</v>
      </c>
      <c r="AM28" s="1">
        <f>IFERROR(__xludf.DUMMYFUNCTION("""COMPUTED_VALUE"""),1.8)</f>
        <v>1.8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>
      <c r="A29" s="1">
        <f>IFERROR(__xludf.DUMMYFUNCTION("""COMPUTED_VALUE"""),26.0)</f>
        <v>26</v>
      </c>
      <c r="B29" s="1" t="str">
        <f>IFERROR(__xludf.DUMMYFUNCTION("""COMPUTED_VALUE"""),"20301069")</f>
        <v>20301069</v>
      </c>
      <c r="C29" s="1" t="str">
        <f>IFERROR(__xludf.DUMMYFUNCTION("""COMPUTED_VALUE"""),"Humaira Khan")</f>
        <v>Humaira Khan</v>
      </c>
      <c r="D29" s="1" t="str">
        <f>IFERROR(__xludf.DUMMYFUNCTION("""COMPUTED_VALUE"""),"humaira.khan@g.bracu.ac.bd")</f>
        <v>humaira.khan@g.bracu.ac.bd</v>
      </c>
      <c r="E29" s="1" t="b">
        <f>IFERROR(__xludf.DUMMYFUNCTION("""COMPUTED_VALUE"""),TRUE)</f>
        <v>1</v>
      </c>
      <c r="F29" s="1">
        <f>IFERROR(__xludf.DUMMYFUNCTION("""COMPUTED_VALUE"""),2.0)</f>
        <v>2</v>
      </c>
      <c r="G29" s="1" t="str">
        <f>IFERROR(__xludf.DUMMYFUNCTION("""COMPUTED_VALUE"""),"BARRED")</f>
        <v>BARRED</v>
      </c>
      <c r="H29" s="1">
        <f>IFERROR(__xludf.DUMMYFUNCTION("""COMPUTED_VALUE"""),1.0)</f>
        <v>1</v>
      </c>
      <c r="I29" s="1">
        <f>IFERROR(__xludf.DUMMYFUNCTION("""COMPUTED_VALUE"""),1.0)</f>
        <v>1</v>
      </c>
      <c r="J29" s="1">
        <f>IFERROR(__xludf.DUMMYFUNCTION("""COMPUTED_VALUE"""),0.0)</f>
        <v>0</v>
      </c>
      <c r="K29" s="1">
        <f>IFERROR(__xludf.DUMMYFUNCTION("""COMPUTED_VALUE"""),1.0)</f>
        <v>1</v>
      </c>
      <c r="L29" s="1">
        <f>IFERROR(__xludf.DUMMYFUNCTION("""COMPUTED_VALUE"""),0.0)</f>
        <v>0</v>
      </c>
      <c r="M29" s="1">
        <f>IFERROR(__xludf.DUMMYFUNCTION("""COMPUTED_VALUE"""),1.0)</f>
        <v>1</v>
      </c>
      <c r="N29" s="1">
        <f>IFERROR(__xludf.DUMMYFUNCTION("""COMPUTED_VALUE"""),1.0)</f>
        <v>1</v>
      </c>
      <c r="O29" s="1">
        <f>IFERROR(__xludf.DUMMYFUNCTION("""COMPUTED_VALUE"""),1.0)</f>
        <v>1</v>
      </c>
      <c r="P29" s="1"/>
      <c r="Q29" s="1"/>
      <c r="R29" s="1"/>
      <c r="S29" s="1"/>
      <c r="T29" s="1"/>
      <c r="U29" s="1">
        <f>IFERROR(__xludf.DUMMYFUNCTION("""COMPUTED_VALUE"""),2.25)</f>
        <v>2.25</v>
      </c>
      <c r="V29" s="1"/>
      <c r="W29" s="1"/>
      <c r="X29" s="1">
        <f>IFERROR(__xludf.DUMMYFUNCTION("""COMPUTED_VALUE"""),4.0)</f>
        <v>4</v>
      </c>
      <c r="Y29" s="1">
        <f>IFERROR(__xludf.DUMMYFUNCTION("""COMPUTED_VALUE"""),0.0)</f>
        <v>0</v>
      </c>
      <c r="Z29" s="1"/>
      <c r="AA29" s="1">
        <f>IFERROR(__xludf.DUMMYFUNCTION("""COMPUTED_VALUE"""),0.0)</f>
        <v>0</v>
      </c>
      <c r="AB29" s="1"/>
      <c r="AC29" s="1"/>
      <c r="AD29" s="1"/>
      <c r="AE29" s="1"/>
      <c r="AF29" s="1"/>
      <c r="AG29" s="1">
        <f>IFERROR(__xludf.DUMMYFUNCTION("""COMPUTED_VALUE"""),1.0)</f>
        <v>1</v>
      </c>
      <c r="AH29" s="1">
        <f>IFERROR(__xludf.DUMMYFUNCTION("""COMPUTED_VALUE"""),4.25)</f>
        <v>4.25</v>
      </c>
      <c r="AI29" s="1"/>
      <c r="AJ29" s="5">
        <f>IFERROR(__xludf.DUMMYFUNCTION("""COMPUTED_VALUE"""),0.0)</f>
        <v>0</v>
      </c>
      <c r="AK29" s="1">
        <f>IFERROR(__xludf.DUMMYFUNCTION("""COMPUTED_VALUE"""),3.5)</f>
        <v>3.5</v>
      </c>
      <c r="AL29" s="1">
        <f>IFERROR(__xludf.DUMMYFUNCTION("""COMPUTED_VALUE"""),0.675)</f>
        <v>0.675</v>
      </c>
      <c r="AM29" s="1">
        <f>IFERROR(__xludf.DUMMYFUNCTION("""COMPUTED_VALUE"""),0.2)</f>
        <v>0.2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>
      <c r="A30" s="1">
        <f>IFERROR(__xludf.DUMMYFUNCTION("""COMPUTED_VALUE"""),27.0)</f>
        <v>27</v>
      </c>
      <c r="B30" s="1" t="str">
        <f>IFERROR(__xludf.DUMMYFUNCTION("""COMPUTED_VALUE"""),"21201834")</f>
        <v>21201834</v>
      </c>
      <c r="C30" s="1" t="str">
        <f>IFERROR(__xludf.DUMMYFUNCTION("""COMPUTED_VALUE"""),"Sunny Jubayer")</f>
        <v>Sunny Jubayer</v>
      </c>
      <c r="D30" s="1" t="str">
        <f>IFERROR(__xludf.DUMMYFUNCTION("""COMPUTED_VALUE"""),"sunny.jubayer@g.bracu.ac.bd")</f>
        <v>sunny.jubayer@g.bracu.ac.bd</v>
      </c>
      <c r="E30" s="1" t="b">
        <f>IFERROR(__xludf.DUMMYFUNCTION("""COMPUTED_VALUE"""),TRUE)</f>
        <v>1</v>
      </c>
      <c r="F30" s="1">
        <f>IFERROR(__xludf.DUMMYFUNCTION("""COMPUTED_VALUE"""),5.0)</f>
        <v>5</v>
      </c>
      <c r="G30" s="1" t="str">
        <f>IFERROR(__xludf.DUMMYFUNCTION("""COMPUTED_VALUE"""),"BARRED")</f>
        <v>BARRED</v>
      </c>
      <c r="H30" s="1">
        <f>IFERROR(__xludf.DUMMYFUNCTION("""COMPUTED_VALUE"""),0.0)</f>
        <v>0</v>
      </c>
      <c r="I30" s="1">
        <f>IFERROR(__xludf.DUMMYFUNCTION("""COMPUTED_VALUE"""),1.0)</f>
        <v>1</v>
      </c>
      <c r="J30" s="1">
        <f>IFERROR(__xludf.DUMMYFUNCTION("""COMPUTED_VALUE"""),0.0)</f>
        <v>0</v>
      </c>
      <c r="K30" s="1">
        <f>IFERROR(__xludf.DUMMYFUNCTION("""COMPUTED_VALUE"""),0.0)</f>
        <v>0</v>
      </c>
      <c r="L30" s="1">
        <f>IFERROR(__xludf.DUMMYFUNCTION("""COMPUTED_VALUE"""),0.0)</f>
        <v>0</v>
      </c>
      <c r="M30" s="1">
        <f>IFERROR(__xludf.DUMMYFUNCTION("""COMPUTED_VALUE"""),1.0)</f>
        <v>1</v>
      </c>
      <c r="N30" s="1">
        <f>IFERROR(__xludf.DUMMYFUNCTION("""COMPUTED_VALUE"""),0.0)</f>
        <v>0</v>
      </c>
      <c r="O30" s="1">
        <f>IFERROR(__xludf.DUMMYFUNCTION("""COMPUTED_VALUE"""),0.0)</f>
        <v>0</v>
      </c>
      <c r="P30" s="1"/>
      <c r="Q30" s="1">
        <f>IFERROR(__xludf.DUMMYFUNCTION("""COMPUTED_VALUE"""),5.0)</f>
        <v>5</v>
      </c>
      <c r="R30" s="1"/>
      <c r="S30" s="1"/>
      <c r="T30" s="1"/>
      <c r="U30" s="1"/>
      <c r="V30" s="1"/>
      <c r="W30" s="1"/>
      <c r="X30" s="1"/>
      <c r="Y30" s="1">
        <f>IFERROR(__xludf.DUMMYFUNCTION("""COMPUTED_VALUE"""),0.0)</f>
        <v>0</v>
      </c>
      <c r="Z30" s="1"/>
      <c r="AA30" s="1">
        <f>IFERROR(__xludf.DUMMYFUNCTION("""COMPUTED_VALUE"""),0.0)</f>
        <v>0</v>
      </c>
      <c r="AB30" s="1"/>
      <c r="AC30" s="1">
        <f>IFERROR(__xludf.DUMMYFUNCTION("""COMPUTED_VALUE"""),4.0)</f>
        <v>4</v>
      </c>
      <c r="AD30" s="1"/>
      <c r="AE30" s="1"/>
      <c r="AF30" s="1"/>
      <c r="AG30" s="1"/>
      <c r="AH30" s="1"/>
      <c r="AI30" s="1"/>
      <c r="AJ30" s="5">
        <f>IFERROR(__xludf.DUMMYFUNCTION("""COMPUTED_VALUE"""),0.0)</f>
        <v>0</v>
      </c>
      <c r="AK30" s="1">
        <f>IFERROR(__xludf.DUMMYFUNCTION("""COMPUTED_VALUE"""),0.0)</f>
        <v>0</v>
      </c>
      <c r="AL30" s="1">
        <f>IFERROR(__xludf.DUMMYFUNCTION("""COMPUTED_VALUE"""),1.5)</f>
        <v>1.5</v>
      </c>
      <c r="AM30" s="1">
        <f>IFERROR(__xludf.DUMMYFUNCTION("""COMPUTED_VALUE"""),0.2)</f>
        <v>0.2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>
      <c r="A31" s="1">
        <f>IFERROR(__xludf.DUMMYFUNCTION("""COMPUTED_VALUE"""),28.0)</f>
        <v>28</v>
      </c>
      <c r="B31" s="1" t="str">
        <f>IFERROR(__xludf.DUMMYFUNCTION("""COMPUTED_VALUE"""),"23201026")</f>
        <v>23201026</v>
      </c>
      <c r="C31" s="1" t="str">
        <f>IFERROR(__xludf.DUMMYFUNCTION("""COMPUTED_VALUE"""),"Zerin Khan Adrika")</f>
        <v>Zerin Khan Adrika</v>
      </c>
      <c r="D31" s="1" t="str">
        <f>IFERROR(__xludf.DUMMYFUNCTION("""COMPUTED_VALUE"""),"zerin.khan.adrika@g.bracu.ac.bd")</f>
        <v>zerin.khan.adrika@g.bracu.ac.bd</v>
      </c>
      <c r="E31" s="1" t="b">
        <f>IFERROR(__xludf.DUMMYFUNCTION("""COMPUTED_VALUE"""),TRUE)</f>
        <v>1</v>
      </c>
      <c r="F31" s="1">
        <f>IFERROR(__xludf.DUMMYFUNCTION("""COMPUTED_VALUE"""),0.0)</f>
        <v>0</v>
      </c>
      <c r="G31" s="1" t="str">
        <f>IFERROR(__xludf.DUMMYFUNCTION("""COMPUTED_VALUE"""),"OKAY")</f>
        <v>OKAY</v>
      </c>
      <c r="H31" s="1">
        <f>IFERROR(__xludf.DUMMYFUNCTION("""COMPUTED_VALUE"""),1.0)</f>
        <v>1</v>
      </c>
      <c r="I31" s="1">
        <f>IFERROR(__xludf.DUMMYFUNCTION("""COMPUTED_VALUE"""),1.0)</f>
        <v>1</v>
      </c>
      <c r="J31" s="1">
        <f>IFERROR(__xludf.DUMMYFUNCTION("""COMPUTED_VALUE"""),1.0)</f>
        <v>1</v>
      </c>
      <c r="K31" s="1">
        <f>IFERROR(__xludf.DUMMYFUNCTION("""COMPUTED_VALUE"""),1.0)</f>
        <v>1</v>
      </c>
      <c r="L31" s="1">
        <f>IFERROR(__xludf.DUMMYFUNCTION("""COMPUTED_VALUE"""),1.0)</f>
        <v>1</v>
      </c>
      <c r="M31" s="1">
        <f>IFERROR(__xludf.DUMMYFUNCTION("""COMPUTED_VALUE"""),1.0)</f>
        <v>1</v>
      </c>
      <c r="N31" s="1">
        <f>IFERROR(__xludf.DUMMYFUNCTION("""COMPUTED_VALUE"""),1.0)</f>
        <v>1</v>
      </c>
      <c r="O31" s="1">
        <f>IFERROR(__xludf.DUMMYFUNCTION("""COMPUTED_VALUE"""),1.0)</f>
        <v>1</v>
      </c>
      <c r="P31" s="1"/>
      <c r="Q31" s="1">
        <f>IFERROR(__xludf.DUMMYFUNCTION("""COMPUTED_VALUE"""),5.0)</f>
        <v>5</v>
      </c>
      <c r="R31" s="1"/>
      <c r="S31" s="1"/>
      <c r="T31" s="1"/>
      <c r="U31" s="1">
        <f>IFERROR(__xludf.DUMMYFUNCTION("""COMPUTED_VALUE"""),1.5)</f>
        <v>1.5</v>
      </c>
      <c r="V31" s="1"/>
      <c r="W31" s="1"/>
      <c r="X31" s="1">
        <f>IFERROR(__xludf.DUMMYFUNCTION("""COMPUTED_VALUE"""),5.0)</f>
        <v>5</v>
      </c>
      <c r="Y31" s="1">
        <f>IFERROR(__xludf.DUMMYFUNCTION("""COMPUTED_VALUE"""),0.0)</f>
        <v>0</v>
      </c>
      <c r="Z31" s="1">
        <f>IFERROR(__xludf.DUMMYFUNCTION("""COMPUTED_VALUE"""),4.0)</f>
        <v>4</v>
      </c>
      <c r="AA31" s="1">
        <f>IFERROR(__xludf.DUMMYFUNCTION("""COMPUTED_VALUE"""),3.0)</f>
        <v>3</v>
      </c>
      <c r="AB31" s="1"/>
      <c r="AC31" s="1">
        <f>IFERROR(__xludf.DUMMYFUNCTION("""COMPUTED_VALUE"""),4.0)</f>
        <v>4</v>
      </c>
      <c r="AD31" s="1">
        <f>IFERROR(__xludf.DUMMYFUNCTION("""COMPUTED_VALUE"""),4.0)</f>
        <v>4</v>
      </c>
      <c r="AE31" s="1"/>
      <c r="AF31" s="1">
        <f>IFERROR(__xludf.DUMMYFUNCTION("""COMPUTED_VALUE"""),5.9)</f>
        <v>5.9</v>
      </c>
      <c r="AG31" s="1">
        <f>IFERROR(__xludf.DUMMYFUNCTION("""COMPUTED_VALUE"""),5.5)</f>
        <v>5.5</v>
      </c>
      <c r="AH31" s="1">
        <f>IFERROR(__xludf.DUMMYFUNCTION("""COMPUTED_VALUE"""),7.0)</f>
        <v>7</v>
      </c>
      <c r="AI31" s="1">
        <f>IFERROR(__xludf.DUMMYFUNCTION("""COMPUTED_VALUE"""),4.0)</f>
        <v>4</v>
      </c>
      <c r="AJ31" s="5">
        <f>IFERROR(__xludf.DUMMYFUNCTION("""COMPUTED_VALUE"""),0.0)</f>
        <v>0</v>
      </c>
      <c r="AK31" s="1">
        <f>IFERROR(__xludf.DUMMYFUNCTION("""COMPUTED_VALUE"""),12.267)</f>
        <v>12.267</v>
      </c>
      <c r="AL31" s="1">
        <f>IFERROR(__xludf.DUMMYFUNCTION("""COMPUTED_VALUE"""),1.95)</f>
        <v>1.95</v>
      </c>
      <c r="AM31" s="1">
        <f>IFERROR(__xludf.DUMMYFUNCTION("""COMPUTED_VALUE"""),1.0)</f>
        <v>1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>
      <c r="A32" s="1">
        <f>IFERROR(__xludf.DUMMYFUNCTION("""COMPUTED_VALUE"""),29.0)</f>
        <v>29</v>
      </c>
      <c r="B32" s="1" t="str">
        <f>IFERROR(__xludf.DUMMYFUNCTION("""COMPUTED_VALUE"""),"23201652")</f>
        <v>23201652</v>
      </c>
      <c r="C32" s="1" t="str">
        <f>IFERROR(__xludf.DUMMYFUNCTION("""COMPUTED_VALUE"""),"Mahit Kamal")</f>
        <v>Mahit Kamal</v>
      </c>
      <c r="D32" s="1" t="str">
        <f>IFERROR(__xludf.DUMMYFUNCTION("""COMPUTED_VALUE"""),"mahit.kamal@g.bracu.ac.bd")</f>
        <v>mahit.kamal@g.bracu.ac.bd</v>
      </c>
      <c r="E32" s="1" t="b">
        <f>IFERROR(__xludf.DUMMYFUNCTION("""COMPUTED_VALUE"""),TRUE)</f>
        <v>1</v>
      </c>
      <c r="F32" s="1">
        <f>IFERROR(__xludf.DUMMYFUNCTION("""COMPUTED_VALUE"""),1.0)</f>
        <v>1</v>
      </c>
      <c r="G32" s="1" t="str">
        <f>IFERROR(__xludf.DUMMYFUNCTION("""COMPUTED_VALUE"""),"WARNING")</f>
        <v>WARNING</v>
      </c>
      <c r="H32" s="1">
        <f>IFERROR(__xludf.DUMMYFUNCTION("""COMPUTED_VALUE"""),0.0)</f>
        <v>0</v>
      </c>
      <c r="I32" s="1">
        <f>IFERROR(__xludf.DUMMYFUNCTION("""COMPUTED_VALUE"""),1.0)</f>
        <v>1</v>
      </c>
      <c r="J32" s="1">
        <f>IFERROR(__xludf.DUMMYFUNCTION("""COMPUTED_VALUE"""),1.0)</f>
        <v>1</v>
      </c>
      <c r="K32" s="1">
        <f>IFERROR(__xludf.DUMMYFUNCTION("""COMPUTED_VALUE"""),1.0)</f>
        <v>1</v>
      </c>
      <c r="L32" s="1">
        <f>IFERROR(__xludf.DUMMYFUNCTION("""COMPUTED_VALUE"""),1.0)</f>
        <v>1</v>
      </c>
      <c r="M32" s="1">
        <f>IFERROR(__xludf.DUMMYFUNCTION("""COMPUTED_VALUE"""),0.0)</f>
        <v>0</v>
      </c>
      <c r="N32" s="1">
        <f>IFERROR(__xludf.DUMMYFUNCTION("""COMPUTED_VALUE"""),1.0)</f>
        <v>1</v>
      </c>
      <c r="O32" s="1">
        <f>IFERROR(__xludf.DUMMYFUNCTION("""COMPUTED_VALUE"""),1.0)</f>
        <v>1</v>
      </c>
      <c r="P32" s="1"/>
      <c r="Q32" s="1">
        <f>IFERROR(__xludf.DUMMYFUNCTION("""COMPUTED_VALUE"""),5.0)</f>
        <v>5</v>
      </c>
      <c r="R32" s="1"/>
      <c r="S32" s="1"/>
      <c r="T32" s="1"/>
      <c r="U32" s="1"/>
      <c r="V32" s="1"/>
      <c r="W32" s="1"/>
      <c r="X32" s="1"/>
      <c r="Y32" s="1">
        <f>IFERROR(__xludf.DUMMYFUNCTION("""COMPUTED_VALUE"""),0.0)</f>
        <v>0</v>
      </c>
      <c r="Z32" s="1"/>
      <c r="AA32" s="1">
        <f>IFERROR(__xludf.DUMMYFUNCTION("""COMPUTED_VALUE"""),0.0)</f>
        <v>0</v>
      </c>
      <c r="AB32" s="1"/>
      <c r="AC32" s="1"/>
      <c r="AD32" s="1"/>
      <c r="AE32" s="1"/>
      <c r="AF32" s="1">
        <f>IFERROR(__xludf.DUMMYFUNCTION("""COMPUTED_VALUE"""),6.9)</f>
        <v>6.9</v>
      </c>
      <c r="AG32" s="1"/>
      <c r="AH32" s="1">
        <f>IFERROR(__xludf.DUMMYFUNCTION("""COMPUTED_VALUE"""),0.0)</f>
        <v>0</v>
      </c>
      <c r="AI32" s="1"/>
      <c r="AJ32" s="5">
        <f>IFERROR(__xludf.DUMMYFUNCTION("""COMPUTED_VALUE"""),0.0)</f>
        <v>0</v>
      </c>
      <c r="AK32" s="1">
        <f>IFERROR(__xludf.DUMMYFUNCTION("""COMPUTED_VALUE"""),4.6)</f>
        <v>4.6</v>
      </c>
      <c r="AL32" s="1">
        <f>IFERROR(__xludf.DUMMYFUNCTION("""COMPUTED_VALUE"""),1.5)</f>
        <v>1.5</v>
      </c>
      <c r="AM32" s="1">
        <f>IFERROR(__xludf.DUMMYFUNCTION("""COMPUTED_VALUE"""),0.0)</f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>
      <c r="A33" s="1">
        <f>IFERROR(__xludf.DUMMYFUNCTION("""COMPUTED_VALUE"""),30.0)</f>
        <v>30</v>
      </c>
      <c r="B33" s="1" t="str">
        <f>IFERROR(__xludf.DUMMYFUNCTION("""COMPUTED_VALUE"""),"23201658")</f>
        <v>23201658</v>
      </c>
      <c r="C33" s="1" t="str">
        <f>IFERROR(__xludf.DUMMYFUNCTION("""COMPUTED_VALUE"""),"Toukir Ahamed")</f>
        <v>Toukir Ahamed</v>
      </c>
      <c r="D33" s="1" t="str">
        <f>IFERROR(__xludf.DUMMYFUNCTION("""COMPUTED_VALUE"""),"toukir.ahamed@g.bracu.ac.bd")</f>
        <v>toukir.ahamed@g.bracu.ac.bd</v>
      </c>
      <c r="E33" s="1" t="b">
        <f>IFERROR(__xludf.DUMMYFUNCTION("""COMPUTED_VALUE"""),TRUE)</f>
        <v>1</v>
      </c>
      <c r="F33" s="1">
        <f>IFERROR(__xludf.DUMMYFUNCTION("""COMPUTED_VALUE"""),0.0)</f>
        <v>0</v>
      </c>
      <c r="G33" s="1" t="str">
        <f>IFERROR(__xludf.DUMMYFUNCTION("""COMPUTED_VALUE"""),"OKAY")</f>
        <v>OKAY</v>
      </c>
      <c r="H33" s="1">
        <f>IFERROR(__xludf.DUMMYFUNCTION("""COMPUTED_VALUE"""),0.0)</f>
        <v>0</v>
      </c>
      <c r="I33" s="1">
        <f>IFERROR(__xludf.DUMMYFUNCTION("""COMPUTED_VALUE"""),1.0)</f>
        <v>1</v>
      </c>
      <c r="J33" s="1">
        <f>IFERROR(__xludf.DUMMYFUNCTION("""COMPUTED_VALUE"""),1.0)</f>
        <v>1</v>
      </c>
      <c r="K33" s="1">
        <f>IFERROR(__xludf.DUMMYFUNCTION("""COMPUTED_VALUE"""),1.0)</f>
        <v>1</v>
      </c>
      <c r="L33" s="1">
        <f>IFERROR(__xludf.DUMMYFUNCTION("""COMPUTED_VALUE"""),1.0)</f>
        <v>1</v>
      </c>
      <c r="M33" s="1">
        <f>IFERROR(__xludf.DUMMYFUNCTION("""COMPUTED_VALUE"""),1.0)</f>
        <v>1</v>
      </c>
      <c r="N33" s="1">
        <f>IFERROR(__xludf.DUMMYFUNCTION("""COMPUTED_VALUE"""),1.0)</f>
        <v>1</v>
      </c>
      <c r="O33" s="1">
        <f>IFERROR(__xludf.DUMMYFUNCTION("""COMPUTED_VALUE"""),1.0)</f>
        <v>1</v>
      </c>
      <c r="P33" s="1"/>
      <c r="Q33" s="1">
        <f>IFERROR(__xludf.DUMMYFUNCTION("""COMPUTED_VALUE"""),2.5)</f>
        <v>2.5</v>
      </c>
      <c r="R33" s="1"/>
      <c r="S33" s="1"/>
      <c r="T33" s="1"/>
      <c r="U33" s="1">
        <f>IFERROR(__xludf.DUMMYFUNCTION("""COMPUTED_VALUE"""),2.5)</f>
        <v>2.5</v>
      </c>
      <c r="V33" s="1"/>
      <c r="W33" s="1"/>
      <c r="X33" s="1"/>
      <c r="Y33" s="1">
        <f>IFERROR(__xludf.DUMMYFUNCTION("""COMPUTED_VALUE"""),5.0)</f>
        <v>5</v>
      </c>
      <c r="Z33" s="1"/>
      <c r="AA33" s="1">
        <f>IFERROR(__xludf.DUMMYFUNCTION("""COMPUTED_VALUE"""),0.0)</f>
        <v>0</v>
      </c>
      <c r="AB33" s="1">
        <f>IFERROR(__xludf.DUMMYFUNCTION("""COMPUTED_VALUE"""),1.0)</f>
        <v>1</v>
      </c>
      <c r="AC33" s="1">
        <f>IFERROR(__xludf.DUMMYFUNCTION("""COMPUTED_VALUE"""),1.0)</f>
        <v>1</v>
      </c>
      <c r="AD33" s="1"/>
      <c r="AE33" s="1"/>
      <c r="AF33" s="1">
        <f>IFERROR(__xludf.DUMMYFUNCTION("""COMPUTED_VALUE"""),2.0)</f>
        <v>2</v>
      </c>
      <c r="AG33" s="1">
        <f>IFERROR(__xludf.DUMMYFUNCTION("""COMPUTED_VALUE"""),1.0)</f>
        <v>1</v>
      </c>
      <c r="AH33" s="1">
        <f>IFERROR(__xludf.DUMMYFUNCTION("""COMPUTED_VALUE"""),0.5)</f>
        <v>0.5</v>
      </c>
      <c r="AI33" s="1">
        <f>IFERROR(__xludf.DUMMYFUNCTION("""COMPUTED_VALUE"""),0.0)</f>
        <v>0</v>
      </c>
      <c r="AJ33" s="5">
        <f>IFERROR(__xludf.DUMMYFUNCTION("""COMPUTED_VALUE"""),0.0)</f>
        <v>0</v>
      </c>
      <c r="AK33" s="1">
        <f>IFERROR(__xludf.DUMMYFUNCTION("""COMPUTED_VALUE"""),2.334)</f>
        <v>2.334</v>
      </c>
      <c r="AL33" s="1">
        <f>IFERROR(__xludf.DUMMYFUNCTION("""COMPUTED_VALUE"""),1.5)</f>
        <v>1.5</v>
      </c>
      <c r="AM33" s="1">
        <f>IFERROR(__xludf.DUMMYFUNCTION("""COMPUTED_VALUE"""),0.35)</f>
        <v>0.35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>
      <c r="A34" s="1">
        <f>IFERROR(__xludf.DUMMYFUNCTION("""COMPUTED_VALUE"""),31.0)</f>
        <v>31</v>
      </c>
      <c r="B34" s="1" t="str">
        <f>IFERROR(__xludf.DUMMYFUNCTION("""COMPUTED_VALUE"""),"23301346")</f>
        <v>23301346</v>
      </c>
      <c r="C34" s="1" t="str">
        <f>IFERROR(__xludf.DUMMYFUNCTION("""COMPUTED_VALUE"""),"Sadia Saleha Katha")</f>
        <v>Sadia Saleha Katha</v>
      </c>
      <c r="D34" s="1" t="str">
        <f>IFERROR(__xludf.DUMMYFUNCTION("""COMPUTED_VALUE"""),"sadia.saleha.katha@g.bracu.ac.bd")</f>
        <v>sadia.saleha.katha@g.bracu.ac.bd</v>
      </c>
      <c r="E34" s="1" t="b">
        <f>IFERROR(__xludf.DUMMYFUNCTION("""COMPUTED_VALUE"""),TRUE)</f>
        <v>1</v>
      </c>
      <c r="F34" s="1">
        <f>IFERROR(__xludf.DUMMYFUNCTION("""COMPUTED_VALUE"""),1.0)</f>
        <v>1</v>
      </c>
      <c r="G34" s="1" t="str">
        <f>IFERROR(__xludf.DUMMYFUNCTION("""COMPUTED_VALUE"""),"WARNING")</f>
        <v>WARNING</v>
      </c>
      <c r="H34" s="1">
        <f>IFERROR(__xludf.DUMMYFUNCTION("""COMPUTED_VALUE"""),1.0)</f>
        <v>1</v>
      </c>
      <c r="I34" s="1">
        <f>IFERROR(__xludf.DUMMYFUNCTION("""COMPUTED_VALUE"""),1.0)</f>
        <v>1</v>
      </c>
      <c r="J34" s="1">
        <f>IFERROR(__xludf.DUMMYFUNCTION("""COMPUTED_VALUE"""),1.0)</f>
        <v>1</v>
      </c>
      <c r="K34" s="1">
        <f>IFERROR(__xludf.DUMMYFUNCTION("""COMPUTED_VALUE"""),1.0)</f>
        <v>1</v>
      </c>
      <c r="L34" s="1">
        <f>IFERROR(__xludf.DUMMYFUNCTION("""COMPUTED_VALUE"""),0.0)</f>
        <v>0</v>
      </c>
      <c r="M34" s="1">
        <f>IFERROR(__xludf.DUMMYFUNCTION("""COMPUTED_VALUE"""),1.0)</f>
        <v>1</v>
      </c>
      <c r="N34" s="1">
        <f>IFERROR(__xludf.DUMMYFUNCTION("""COMPUTED_VALUE"""),1.0)</f>
        <v>1</v>
      </c>
      <c r="O34" s="1">
        <f>IFERROR(__xludf.DUMMYFUNCTION("""COMPUTED_VALUE"""),1.0)</f>
        <v>1</v>
      </c>
      <c r="P34" s="1"/>
      <c r="Q34" s="1">
        <f>IFERROR(__xludf.DUMMYFUNCTION("""COMPUTED_VALUE"""),5.0)</f>
        <v>5</v>
      </c>
      <c r="R34" s="1"/>
      <c r="S34" s="1"/>
      <c r="T34" s="1"/>
      <c r="U34" s="1">
        <f>IFERROR(__xludf.DUMMYFUNCTION("""COMPUTED_VALUE"""),5.0)</f>
        <v>5</v>
      </c>
      <c r="V34" s="1"/>
      <c r="W34" s="1"/>
      <c r="X34" s="1">
        <f>IFERROR(__xludf.DUMMYFUNCTION("""COMPUTED_VALUE"""),5.0)</f>
        <v>5</v>
      </c>
      <c r="Y34" s="1">
        <f>IFERROR(__xludf.DUMMYFUNCTION("""COMPUTED_VALUE"""),5.0)</f>
        <v>5</v>
      </c>
      <c r="Z34" s="1">
        <f>IFERROR(__xludf.DUMMYFUNCTION("""COMPUTED_VALUE"""),5.0)</f>
        <v>5</v>
      </c>
      <c r="AA34" s="1">
        <f>IFERROR(__xludf.DUMMYFUNCTION("""COMPUTED_VALUE"""),4.0)</f>
        <v>4</v>
      </c>
      <c r="AB34" s="1">
        <f>IFERROR(__xludf.DUMMYFUNCTION("""COMPUTED_VALUE"""),5.0)</f>
        <v>5</v>
      </c>
      <c r="AC34" s="1">
        <f>IFERROR(__xludf.DUMMYFUNCTION("""COMPUTED_VALUE"""),5.0)</f>
        <v>5</v>
      </c>
      <c r="AD34" s="1">
        <f>IFERROR(__xludf.DUMMYFUNCTION("""COMPUTED_VALUE"""),5.0)</f>
        <v>5</v>
      </c>
      <c r="AE34" s="1"/>
      <c r="AF34" s="1">
        <f>IFERROR(__xludf.DUMMYFUNCTION("""COMPUTED_VALUE"""),4.5)</f>
        <v>4.5</v>
      </c>
      <c r="AG34" s="1">
        <f>IFERROR(__xludf.DUMMYFUNCTION("""COMPUTED_VALUE"""),5.0)</f>
        <v>5</v>
      </c>
      <c r="AH34" s="1">
        <f>IFERROR(__xludf.DUMMYFUNCTION("""COMPUTED_VALUE"""),2.5)</f>
        <v>2.5</v>
      </c>
      <c r="AI34" s="1">
        <f>IFERROR(__xludf.DUMMYFUNCTION("""COMPUTED_VALUE"""),6.0)</f>
        <v>6</v>
      </c>
      <c r="AJ34" s="5">
        <f>IFERROR(__xludf.DUMMYFUNCTION("""COMPUTED_VALUE"""),0.0)</f>
        <v>0</v>
      </c>
      <c r="AK34" s="1">
        <f>IFERROR(__xludf.DUMMYFUNCTION("""COMPUTED_VALUE"""),10.334)</f>
        <v>10.334</v>
      </c>
      <c r="AL34" s="1">
        <f>IFERROR(__xludf.DUMMYFUNCTION("""COMPUTED_VALUE"""),3.0)</f>
        <v>3</v>
      </c>
      <c r="AM34" s="1">
        <f>IFERROR(__xludf.DUMMYFUNCTION("""COMPUTED_VALUE"""),1.7)</f>
        <v>1.7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>
      <c r="A35" s="1">
        <f>IFERROR(__xludf.DUMMYFUNCTION("""COMPUTED_VALUE"""),32.0)</f>
        <v>32</v>
      </c>
      <c r="B35" s="1" t="str">
        <f>IFERROR(__xludf.DUMMYFUNCTION("""COMPUTED_VALUE"""),"24101111")</f>
        <v>24101111</v>
      </c>
      <c r="C35" s="1" t="str">
        <f>IFERROR(__xludf.DUMMYFUNCTION("""COMPUTED_VALUE"""),"Imtiaz Maruf")</f>
        <v>Imtiaz Maruf</v>
      </c>
      <c r="D35" s="1" t="str">
        <f>IFERROR(__xludf.DUMMYFUNCTION("""COMPUTED_VALUE"""),"imtiaz.maruf@g.bracu.ac.bd")</f>
        <v>imtiaz.maruf@g.bracu.ac.bd</v>
      </c>
      <c r="E35" s="1" t="b">
        <f>IFERROR(__xludf.DUMMYFUNCTION("""COMPUTED_VALUE"""),TRUE)</f>
        <v>1</v>
      </c>
      <c r="F35" s="1">
        <f>IFERROR(__xludf.DUMMYFUNCTION("""COMPUTED_VALUE"""),1.0)</f>
        <v>1</v>
      </c>
      <c r="G35" s="1" t="str">
        <f>IFERROR(__xludf.DUMMYFUNCTION("""COMPUTED_VALUE"""),"WARNING")</f>
        <v>WARNING</v>
      </c>
      <c r="H35" s="1">
        <f>IFERROR(__xludf.DUMMYFUNCTION("""COMPUTED_VALUE"""),0.0)</f>
        <v>0</v>
      </c>
      <c r="I35" s="1">
        <f>IFERROR(__xludf.DUMMYFUNCTION("""COMPUTED_VALUE"""),1.0)</f>
        <v>1</v>
      </c>
      <c r="J35" s="1">
        <f>IFERROR(__xludf.DUMMYFUNCTION("""COMPUTED_VALUE"""),1.0)</f>
        <v>1</v>
      </c>
      <c r="K35" s="1">
        <f>IFERROR(__xludf.DUMMYFUNCTION("""COMPUTED_VALUE"""),1.0)</f>
        <v>1</v>
      </c>
      <c r="L35" s="1">
        <f>IFERROR(__xludf.DUMMYFUNCTION("""COMPUTED_VALUE"""),1.0)</f>
        <v>1</v>
      </c>
      <c r="M35" s="1">
        <f>IFERROR(__xludf.DUMMYFUNCTION("""COMPUTED_VALUE"""),1.0)</f>
        <v>1</v>
      </c>
      <c r="N35" s="1">
        <f>IFERROR(__xludf.DUMMYFUNCTION("""COMPUTED_VALUE"""),1.0)</f>
        <v>1</v>
      </c>
      <c r="O35" s="1">
        <f>IFERROR(__xludf.DUMMYFUNCTION("""COMPUTED_VALUE"""),0.0)</f>
        <v>0</v>
      </c>
      <c r="P35" s="1"/>
      <c r="Q35" s="1">
        <f>IFERROR(__xludf.DUMMYFUNCTION("""COMPUTED_VALUE"""),5.0)</f>
        <v>5</v>
      </c>
      <c r="R35" s="1"/>
      <c r="S35" s="1"/>
      <c r="T35" s="1"/>
      <c r="U35" s="1">
        <f>IFERROR(__xludf.DUMMYFUNCTION("""COMPUTED_VALUE"""),5.0)</f>
        <v>5</v>
      </c>
      <c r="V35" s="1"/>
      <c r="W35" s="1"/>
      <c r="X35" s="1"/>
      <c r="Y35" s="1">
        <f>IFERROR(__xludf.DUMMYFUNCTION("""COMPUTED_VALUE"""),0.0)</f>
        <v>0</v>
      </c>
      <c r="Z35" s="1"/>
      <c r="AA35" s="1">
        <f>IFERROR(__xludf.DUMMYFUNCTION("""COMPUTED_VALUE"""),0.0)</f>
        <v>0</v>
      </c>
      <c r="AB35" s="1"/>
      <c r="AC35" s="1"/>
      <c r="AD35" s="1"/>
      <c r="AE35" s="1"/>
      <c r="AF35" s="1">
        <f>IFERROR(__xludf.DUMMYFUNCTION("""COMPUTED_VALUE"""),1.0)</f>
        <v>1</v>
      </c>
      <c r="AG35" s="1">
        <f>IFERROR(__xludf.DUMMYFUNCTION("""COMPUTED_VALUE"""),0.5)</f>
        <v>0.5</v>
      </c>
      <c r="AH35" s="1">
        <f>IFERROR(__xludf.DUMMYFUNCTION("""COMPUTED_VALUE"""),0.25)</f>
        <v>0.25</v>
      </c>
      <c r="AI35" s="1"/>
      <c r="AJ35" s="5">
        <f>IFERROR(__xludf.DUMMYFUNCTION("""COMPUTED_VALUE"""),0.0)</f>
        <v>0</v>
      </c>
      <c r="AK35" s="1">
        <f>IFERROR(__xludf.DUMMYFUNCTION("""COMPUTED_VALUE"""),1.167)</f>
        <v>1.167</v>
      </c>
      <c r="AL35" s="1">
        <f>IFERROR(__xludf.DUMMYFUNCTION("""COMPUTED_VALUE"""),3.0)</f>
        <v>3</v>
      </c>
      <c r="AM35" s="1">
        <f>IFERROR(__xludf.DUMMYFUNCTION("""COMPUTED_VALUE"""),0.0)</f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>
      <c r="A36" s="1">
        <f>IFERROR(__xludf.DUMMYFUNCTION("""COMPUTED_VALUE"""),33.0)</f>
        <v>33</v>
      </c>
      <c r="B36" s="1" t="str">
        <f>IFERROR(__xludf.DUMMYFUNCTION("""COMPUTED_VALUE"""),"24101132")</f>
        <v>24101132</v>
      </c>
      <c r="C36" s="1" t="str">
        <f>IFERROR(__xludf.DUMMYFUNCTION("""COMPUTED_VALUE"""),"Jannat Ul Ferdush")</f>
        <v>Jannat Ul Ferdush</v>
      </c>
      <c r="D36" s="1" t="str">
        <f>IFERROR(__xludf.DUMMYFUNCTION("""COMPUTED_VALUE"""),"jannat.ul.ferdush@g.bracu.ac.bd")</f>
        <v>jannat.ul.ferdush@g.bracu.ac.bd</v>
      </c>
      <c r="E36" s="1" t="b">
        <f>IFERROR(__xludf.DUMMYFUNCTION("""COMPUTED_VALUE"""),TRUE)</f>
        <v>1</v>
      </c>
      <c r="F36" s="1">
        <f>IFERROR(__xludf.DUMMYFUNCTION("""COMPUTED_VALUE"""),6.0)</f>
        <v>6</v>
      </c>
      <c r="G36" s="1" t="str">
        <f>IFERROR(__xludf.DUMMYFUNCTION("""COMPUTED_VALUE"""),"BARRED")</f>
        <v>BARRED</v>
      </c>
      <c r="H36" s="1">
        <f>IFERROR(__xludf.DUMMYFUNCTION("""COMPUTED_VALUE"""),1.0)</f>
        <v>1</v>
      </c>
      <c r="I36" s="1">
        <f>IFERROR(__xludf.DUMMYFUNCTION("""COMPUTED_VALUE"""),1.0)</f>
        <v>1</v>
      </c>
      <c r="J36" s="1">
        <f>IFERROR(__xludf.DUMMYFUNCTION("""COMPUTED_VALUE"""),0.0)</f>
        <v>0</v>
      </c>
      <c r="K36" s="1">
        <f>IFERROR(__xludf.DUMMYFUNCTION("""COMPUTED_VALUE"""),0.0)</f>
        <v>0</v>
      </c>
      <c r="L36" s="1">
        <f>IFERROR(__xludf.DUMMYFUNCTION("""COMPUTED_VALUE"""),0.0)</f>
        <v>0</v>
      </c>
      <c r="M36" s="1">
        <f>IFERROR(__xludf.DUMMYFUNCTION("""COMPUTED_VALUE"""),0.0)</f>
        <v>0</v>
      </c>
      <c r="N36" s="1">
        <f>IFERROR(__xludf.DUMMYFUNCTION("""COMPUTED_VALUE"""),0.0)</f>
        <v>0</v>
      </c>
      <c r="O36" s="1">
        <f>IFERROR(__xludf.DUMMYFUNCTION("""COMPUTED_VALUE"""),0.0)</f>
        <v>0</v>
      </c>
      <c r="P36" s="1"/>
      <c r="Q36" s="1">
        <f>IFERROR(__xludf.DUMMYFUNCTION("""COMPUTED_VALUE"""),2.0)</f>
        <v>2</v>
      </c>
      <c r="R36" s="1"/>
      <c r="S36" s="1"/>
      <c r="T36" s="1"/>
      <c r="U36" s="1"/>
      <c r="V36" s="1"/>
      <c r="W36" s="1"/>
      <c r="X36" s="1"/>
      <c r="Y36" s="1">
        <f>IFERROR(__xludf.DUMMYFUNCTION("""COMPUTED_VALUE"""),0.0)</f>
        <v>0</v>
      </c>
      <c r="Z36" s="1"/>
      <c r="AA36" s="1">
        <f>IFERROR(__xludf.DUMMYFUNCTION("""COMPUTED_VALUE"""),0.0)</f>
        <v>0</v>
      </c>
      <c r="AB36" s="1"/>
      <c r="AC36" s="1"/>
      <c r="AD36" s="1"/>
      <c r="AE36" s="1"/>
      <c r="AF36" s="1"/>
      <c r="AG36" s="1">
        <f>IFERROR(__xludf.DUMMYFUNCTION("""COMPUTED_VALUE"""),0.5)</f>
        <v>0.5</v>
      </c>
      <c r="AH36" s="1"/>
      <c r="AI36" s="1"/>
      <c r="AJ36" s="5">
        <f>IFERROR(__xludf.DUMMYFUNCTION("""COMPUTED_VALUE"""),0.0)</f>
        <v>0</v>
      </c>
      <c r="AK36" s="1">
        <f>IFERROR(__xludf.DUMMYFUNCTION("""COMPUTED_VALUE"""),0.334)</f>
        <v>0.334</v>
      </c>
      <c r="AL36" s="1">
        <f>IFERROR(__xludf.DUMMYFUNCTION("""COMPUTED_VALUE"""),0.6)</f>
        <v>0.6</v>
      </c>
      <c r="AM36" s="1">
        <f>IFERROR(__xludf.DUMMYFUNCTION("""COMPUTED_VALUE"""),0.0)</f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>
      <c r="A37" s="1">
        <f>IFERROR(__xludf.DUMMYFUNCTION("""COMPUTED_VALUE"""),34.0)</f>
        <v>34</v>
      </c>
      <c r="B37" s="1" t="str">
        <f>IFERROR(__xludf.DUMMYFUNCTION("""COMPUTED_VALUE"""),"24201095")</f>
        <v>24201095</v>
      </c>
      <c r="C37" s="1" t="str">
        <f>IFERROR(__xludf.DUMMYFUNCTION("""COMPUTED_VALUE"""),"Azmain Abir Prattoy")</f>
        <v>Azmain Abir Prattoy</v>
      </c>
      <c r="D37" s="1" t="str">
        <f>IFERROR(__xludf.DUMMYFUNCTION("""COMPUTED_VALUE"""),"azmain.abir.prattoy@g.bracu.ac.bd")</f>
        <v>azmain.abir.prattoy@g.bracu.ac.bd</v>
      </c>
      <c r="E37" s="1" t="b">
        <f>IFERROR(__xludf.DUMMYFUNCTION("""COMPUTED_VALUE"""),TRUE)</f>
        <v>1</v>
      </c>
      <c r="F37" s="1">
        <f>IFERROR(__xludf.DUMMYFUNCTION("""COMPUTED_VALUE"""),0.0)</f>
        <v>0</v>
      </c>
      <c r="G37" s="1" t="str">
        <f>IFERROR(__xludf.DUMMYFUNCTION("""COMPUTED_VALUE"""),"OKAY")</f>
        <v>OKAY</v>
      </c>
      <c r="H37" s="1">
        <f>IFERROR(__xludf.DUMMYFUNCTION("""COMPUTED_VALUE"""),1.0)</f>
        <v>1</v>
      </c>
      <c r="I37" s="1">
        <f>IFERROR(__xludf.DUMMYFUNCTION("""COMPUTED_VALUE"""),1.0)</f>
        <v>1</v>
      </c>
      <c r="J37" s="1">
        <f>IFERROR(__xludf.DUMMYFUNCTION("""COMPUTED_VALUE"""),1.0)</f>
        <v>1</v>
      </c>
      <c r="K37" s="1">
        <f>IFERROR(__xludf.DUMMYFUNCTION("""COMPUTED_VALUE"""),1.0)</f>
        <v>1</v>
      </c>
      <c r="L37" s="1">
        <f>IFERROR(__xludf.DUMMYFUNCTION("""COMPUTED_VALUE"""),1.0)</f>
        <v>1</v>
      </c>
      <c r="M37" s="1">
        <f>IFERROR(__xludf.DUMMYFUNCTION("""COMPUTED_VALUE"""),1.0)</f>
        <v>1</v>
      </c>
      <c r="N37" s="1">
        <f>IFERROR(__xludf.DUMMYFUNCTION("""COMPUTED_VALUE"""),1.0)</f>
        <v>1</v>
      </c>
      <c r="O37" s="1">
        <f>IFERROR(__xludf.DUMMYFUNCTION("""COMPUTED_VALUE"""),1.0)</f>
        <v>1</v>
      </c>
      <c r="P37" s="1"/>
      <c r="Q37" s="1">
        <f>IFERROR(__xludf.DUMMYFUNCTION("""COMPUTED_VALUE"""),5.0)</f>
        <v>5</v>
      </c>
      <c r="R37" s="1"/>
      <c r="S37" s="1"/>
      <c r="T37" s="1"/>
      <c r="U37" s="1">
        <f>IFERROR(__xludf.DUMMYFUNCTION("""COMPUTED_VALUE"""),5.0)</f>
        <v>5</v>
      </c>
      <c r="V37" s="1"/>
      <c r="W37" s="1"/>
      <c r="X37" s="1">
        <f>IFERROR(__xludf.DUMMYFUNCTION("""COMPUTED_VALUE"""),1.0)</f>
        <v>1</v>
      </c>
      <c r="Y37" s="1">
        <f>IFERROR(__xludf.DUMMYFUNCTION("""COMPUTED_VALUE"""),5.0)</f>
        <v>5</v>
      </c>
      <c r="Z37" s="1">
        <f>IFERROR(__xludf.DUMMYFUNCTION("""COMPUTED_VALUE"""),1.0)</f>
        <v>1</v>
      </c>
      <c r="AA37" s="1">
        <f>IFERROR(__xludf.DUMMYFUNCTION("""COMPUTED_VALUE"""),0.0)</f>
        <v>0</v>
      </c>
      <c r="AB37" s="1">
        <f>IFERROR(__xludf.DUMMYFUNCTION("""COMPUTED_VALUE"""),1.0)</f>
        <v>1</v>
      </c>
      <c r="AC37" s="1">
        <f>IFERROR(__xludf.DUMMYFUNCTION("""COMPUTED_VALUE"""),5.0)</f>
        <v>5</v>
      </c>
      <c r="AD37" s="1">
        <f>IFERROR(__xludf.DUMMYFUNCTION("""COMPUTED_VALUE"""),5.0)</f>
        <v>5</v>
      </c>
      <c r="AE37" s="1">
        <f>IFERROR(__xludf.DUMMYFUNCTION("""COMPUTED_VALUE"""),5.0)</f>
        <v>5</v>
      </c>
      <c r="AF37" s="1">
        <f>IFERROR(__xludf.DUMMYFUNCTION("""COMPUTED_VALUE"""),6.5)</f>
        <v>6.5</v>
      </c>
      <c r="AG37" s="1">
        <f>IFERROR(__xludf.DUMMYFUNCTION("""COMPUTED_VALUE"""),5.5)</f>
        <v>5.5</v>
      </c>
      <c r="AH37" s="1">
        <f>IFERROR(__xludf.DUMMYFUNCTION("""COMPUTED_VALUE"""),6.0)</f>
        <v>6</v>
      </c>
      <c r="AI37" s="1">
        <f>IFERROR(__xludf.DUMMYFUNCTION("""COMPUTED_VALUE"""),5.0)</f>
        <v>5</v>
      </c>
      <c r="AJ37" s="5">
        <f>IFERROR(__xludf.DUMMYFUNCTION("""COMPUTED_VALUE"""),0.0)</f>
        <v>0</v>
      </c>
      <c r="AK37" s="1">
        <f>IFERROR(__xludf.DUMMYFUNCTION("""COMPUTED_VALUE"""),12.0)</f>
        <v>12</v>
      </c>
      <c r="AL37" s="1">
        <f>IFERROR(__xludf.DUMMYFUNCTION("""COMPUTED_VALUE"""),3.0)</f>
        <v>3</v>
      </c>
      <c r="AM37" s="1">
        <f>IFERROR(__xludf.DUMMYFUNCTION("""COMPUTED_VALUE"""),1.15)</f>
        <v>1.15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>
      <c r="A38" s="1">
        <f>IFERROR(__xludf.DUMMYFUNCTION("""COMPUTED_VALUE"""),35.0)</f>
        <v>35</v>
      </c>
      <c r="B38" s="1" t="str">
        <f>IFERROR(__xludf.DUMMYFUNCTION("""COMPUTED_VALUE"""),"24201219")</f>
        <v>24201219</v>
      </c>
      <c r="C38" s="1" t="str">
        <f>IFERROR(__xludf.DUMMYFUNCTION("""COMPUTED_VALUE"""),"Sharif Adibur Rahman")</f>
        <v>Sharif Adibur Rahman</v>
      </c>
      <c r="D38" s="1" t="str">
        <f>IFERROR(__xludf.DUMMYFUNCTION("""COMPUTED_VALUE"""),"sharif.adibur.rahman@g.bracu.ac.bd")</f>
        <v>sharif.adibur.rahman@g.bracu.ac.bd</v>
      </c>
      <c r="E38" s="1" t="b">
        <f>IFERROR(__xludf.DUMMYFUNCTION("""COMPUTED_VALUE"""),TRUE)</f>
        <v>1</v>
      </c>
      <c r="F38" s="1">
        <f>IFERROR(__xludf.DUMMYFUNCTION("""COMPUTED_VALUE"""),1.0)</f>
        <v>1</v>
      </c>
      <c r="G38" s="1" t="str">
        <f>IFERROR(__xludf.DUMMYFUNCTION("""COMPUTED_VALUE"""),"WARNING")</f>
        <v>WARNING</v>
      </c>
      <c r="H38" s="1">
        <f>IFERROR(__xludf.DUMMYFUNCTION("""COMPUTED_VALUE"""),1.0)</f>
        <v>1</v>
      </c>
      <c r="I38" s="1">
        <f>IFERROR(__xludf.DUMMYFUNCTION("""COMPUTED_VALUE"""),1.0)</f>
        <v>1</v>
      </c>
      <c r="J38" s="1">
        <f>IFERROR(__xludf.DUMMYFUNCTION("""COMPUTED_VALUE"""),1.0)</f>
        <v>1</v>
      </c>
      <c r="K38" s="1">
        <f>IFERROR(__xludf.DUMMYFUNCTION("""COMPUTED_VALUE"""),1.0)</f>
        <v>1</v>
      </c>
      <c r="L38" s="1">
        <f>IFERROR(__xludf.DUMMYFUNCTION("""COMPUTED_VALUE"""),1.0)</f>
        <v>1</v>
      </c>
      <c r="M38" s="1">
        <f>IFERROR(__xludf.DUMMYFUNCTION("""COMPUTED_VALUE"""),0.0)</f>
        <v>0</v>
      </c>
      <c r="N38" s="1">
        <f>IFERROR(__xludf.DUMMYFUNCTION("""COMPUTED_VALUE"""),1.0)</f>
        <v>1</v>
      </c>
      <c r="O38" s="1">
        <f>IFERROR(__xludf.DUMMYFUNCTION("""COMPUTED_VALUE"""),1.0)</f>
        <v>1</v>
      </c>
      <c r="P38" s="1"/>
      <c r="Q38" s="1">
        <f>IFERROR(__xludf.DUMMYFUNCTION("""COMPUTED_VALUE"""),5.0)</f>
        <v>5</v>
      </c>
      <c r="R38" s="1"/>
      <c r="S38" s="1"/>
      <c r="T38" s="1"/>
      <c r="U38" s="1"/>
      <c r="V38" s="1"/>
      <c r="W38" s="1"/>
      <c r="X38" s="1">
        <f>IFERROR(__xludf.DUMMYFUNCTION("""COMPUTED_VALUE"""),1.0)</f>
        <v>1</v>
      </c>
      <c r="Y38" s="1">
        <f>IFERROR(__xludf.DUMMYFUNCTION("""COMPUTED_VALUE"""),5.0)</f>
        <v>5</v>
      </c>
      <c r="Z38" s="1">
        <f>IFERROR(__xludf.DUMMYFUNCTION("""COMPUTED_VALUE"""),5.0)</f>
        <v>5</v>
      </c>
      <c r="AA38" s="1">
        <f>IFERROR(__xludf.DUMMYFUNCTION("""COMPUTED_VALUE"""),5.0)</f>
        <v>5</v>
      </c>
      <c r="AB38" s="1">
        <f>IFERROR(__xludf.DUMMYFUNCTION("""COMPUTED_VALUE"""),5.0)</f>
        <v>5</v>
      </c>
      <c r="AC38" s="1">
        <f>IFERROR(__xludf.DUMMYFUNCTION("""COMPUTED_VALUE"""),5.0)</f>
        <v>5</v>
      </c>
      <c r="AD38" s="1">
        <f>IFERROR(__xludf.DUMMYFUNCTION("""COMPUTED_VALUE"""),1.0)</f>
        <v>1</v>
      </c>
      <c r="AE38" s="1">
        <f>IFERROR(__xludf.DUMMYFUNCTION("""COMPUTED_VALUE"""),1.0)</f>
        <v>1</v>
      </c>
      <c r="AF38" s="1">
        <f>IFERROR(__xludf.DUMMYFUNCTION("""COMPUTED_VALUE"""),6.0)</f>
        <v>6</v>
      </c>
      <c r="AG38" s="1">
        <f>IFERROR(__xludf.DUMMYFUNCTION("""COMPUTED_VALUE"""),5.0)</f>
        <v>5</v>
      </c>
      <c r="AH38" s="1">
        <f>IFERROR(__xludf.DUMMYFUNCTION("""COMPUTED_VALUE"""),3.0)</f>
        <v>3</v>
      </c>
      <c r="AI38" s="1">
        <f>IFERROR(__xludf.DUMMYFUNCTION("""COMPUTED_VALUE"""),4.0)</f>
        <v>4</v>
      </c>
      <c r="AJ38" s="5">
        <f>IFERROR(__xludf.DUMMYFUNCTION("""COMPUTED_VALUE"""),0.0)</f>
        <v>0</v>
      </c>
      <c r="AK38" s="1">
        <f>IFERROR(__xludf.DUMMYFUNCTION("""COMPUTED_VALUE"""),10.0)</f>
        <v>10</v>
      </c>
      <c r="AL38" s="1">
        <f>IFERROR(__xludf.DUMMYFUNCTION("""COMPUTED_VALUE"""),1.5)</f>
        <v>1.5</v>
      </c>
      <c r="AM38" s="1">
        <f>IFERROR(__xludf.DUMMYFUNCTION("""COMPUTED_VALUE"""),1.4)</f>
        <v>1.4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>
      <c r="A39" s="1">
        <f>IFERROR(__xludf.DUMMYFUNCTION("""COMPUTED_VALUE"""),36.0)</f>
        <v>36</v>
      </c>
      <c r="B39" s="1" t="str">
        <f>IFERROR(__xludf.DUMMYFUNCTION("""COMPUTED_VALUE"""),"24201254")</f>
        <v>24201254</v>
      </c>
      <c r="C39" s="1" t="str">
        <f>IFERROR(__xludf.DUMMYFUNCTION("""COMPUTED_VALUE"""),"Ruhul Hassan")</f>
        <v>Ruhul Hassan</v>
      </c>
      <c r="D39" s="1" t="str">
        <f>IFERROR(__xludf.DUMMYFUNCTION("""COMPUTED_VALUE"""),"ruhul.hassan@g.bracu.ac.bd")</f>
        <v>ruhul.hassan@g.bracu.ac.bd</v>
      </c>
      <c r="E39" s="1" t="b">
        <f>IFERROR(__xludf.DUMMYFUNCTION("""COMPUTED_VALUE"""),TRUE)</f>
        <v>1</v>
      </c>
      <c r="F39" s="1">
        <f>IFERROR(__xludf.DUMMYFUNCTION("""COMPUTED_VALUE"""),3.0)</f>
        <v>3</v>
      </c>
      <c r="G39" s="1" t="str">
        <f>IFERROR(__xludf.DUMMYFUNCTION("""COMPUTED_VALUE"""),"BARRED")</f>
        <v>BARRED</v>
      </c>
      <c r="H39" s="1">
        <f>IFERROR(__xludf.DUMMYFUNCTION("""COMPUTED_VALUE"""),1.0)</f>
        <v>1</v>
      </c>
      <c r="I39" s="1">
        <f>IFERROR(__xludf.DUMMYFUNCTION("""COMPUTED_VALUE"""),1.0)</f>
        <v>1</v>
      </c>
      <c r="J39" s="1">
        <f>IFERROR(__xludf.DUMMYFUNCTION("""COMPUTED_VALUE"""),0.0)</f>
        <v>0</v>
      </c>
      <c r="K39" s="1">
        <f>IFERROR(__xludf.DUMMYFUNCTION("""COMPUTED_VALUE"""),1.0)</f>
        <v>1</v>
      </c>
      <c r="L39" s="1">
        <f>IFERROR(__xludf.DUMMYFUNCTION("""COMPUTED_VALUE"""),1.0)</f>
        <v>1</v>
      </c>
      <c r="M39" s="1">
        <f>IFERROR(__xludf.DUMMYFUNCTION("""COMPUTED_VALUE"""),1.0)</f>
        <v>1</v>
      </c>
      <c r="N39" s="1">
        <f>IFERROR(__xludf.DUMMYFUNCTION("""COMPUTED_VALUE"""),0.0)</f>
        <v>0</v>
      </c>
      <c r="O39" s="1">
        <f>IFERROR(__xludf.DUMMYFUNCTION("""COMPUTED_VALUE"""),0.0)</f>
        <v>0</v>
      </c>
      <c r="P39" s="1"/>
      <c r="Q39" s="1">
        <f>IFERROR(__xludf.DUMMYFUNCTION("""COMPUTED_VALUE"""),5.0)</f>
        <v>5</v>
      </c>
      <c r="R39" s="1"/>
      <c r="S39" s="1"/>
      <c r="T39" s="1"/>
      <c r="U39" s="1">
        <f>IFERROR(__xludf.DUMMYFUNCTION("""COMPUTED_VALUE"""),4.0)</f>
        <v>4</v>
      </c>
      <c r="V39" s="1"/>
      <c r="W39" s="1"/>
      <c r="X39" s="1">
        <f>IFERROR(__xludf.DUMMYFUNCTION("""COMPUTED_VALUE"""),0.0)</f>
        <v>0</v>
      </c>
      <c r="Y39" s="1">
        <f>IFERROR(__xludf.DUMMYFUNCTION("""COMPUTED_VALUE"""),3.0)</f>
        <v>3</v>
      </c>
      <c r="Z39" s="1"/>
      <c r="AA39" s="1">
        <f>IFERROR(__xludf.DUMMYFUNCTION("""COMPUTED_VALUE"""),4.0)</f>
        <v>4</v>
      </c>
      <c r="AB39" s="1">
        <f>IFERROR(__xludf.DUMMYFUNCTION("""COMPUTED_VALUE"""),5.0)</f>
        <v>5</v>
      </c>
      <c r="AC39" s="1"/>
      <c r="AD39" s="1"/>
      <c r="AE39" s="1"/>
      <c r="AF39" s="1"/>
      <c r="AG39" s="1">
        <f>IFERROR(__xludf.DUMMYFUNCTION("""COMPUTED_VALUE"""),1.0)</f>
        <v>1</v>
      </c>
      <c r="AH39" s="1"/>
      <c r="AI39" s="1"/>
      <c r="AJ39" s="5">
        <f>IFERROR(__xludf.DUMMYFUNCTION("""COMPUTED_VALUE"""),0.0)</f>
        <v>0</v>
      </c>
      <c r="AK39" s="1">
        <f>IFERROR(__xludf.DUMMYFUNCTION("""COMPUTED_VALUE"""),0.667)</f>
        <v>0.667</v>
      </c>
      <c r="AL39" s="1">
        <f>IFERROR(__xludf.DUMMYFUNCTION("""COMPUTED_VALUE"""),2.7)</f>
        <v>2.7</v>
      </c>
      <c r="AM39" s="1">
        <f>IFERROR(__xludf.DUMMYFUNCTION("""COMPUTED_VALUE"""),0.6)</f>
        <v>0.6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>
      <c r="A40" s="1">
        <f>IFERROR(__xludf.DUMMYFUNCTION("""COMPUTED_VALUE"""),37.0)</f>
        <v>37</v>
      </c>
      <c r="B40" s="1" t="str">
        <f>IFERROR(__xludf.DUMMYFUNCTION("""COMPUTED_VALUE"""),"24201320")</f>
        <v>24201320</v>
      </c>
      <c r="C40" s="1" t="str">
        <f>IFERROR(__xludf.DUMMYFUNCTION("""COMPUTED_VALUE"""),"Alyee Rawdad")</f>
        <v>Alyee Rawdad</v>
      </c>
      <c r="D40" s="1" t="str">
        <f>IFERROR(__xludf.DUMMYFUNCTION("""COMPUTED_VALUE"""),"alyee.rawdad@g.bracu.ac.bd")</f>
        <v>alyee.rawdad@g.bracu.ac.bd</v>
      </c>
      <c r="E40" s="1" t="b">
        <f>IFERROR(__xludf.DUMMYFUNCTION("""COMPUTED_VALUE"""),TRUE)</f>
        <v>1</v>
      </c>
      <c r="F40" s="1">
        <f>IFERROR(__xludf.DUMMYFUNCTION("""COMPUTED_VALUE"""),0.0)</f>
        <v>0</v>
      </c>
      <c r="G40" s="1" t="str">
        <f>IFERROR(__xludf.DUMMYFUNCTION("""COMPUTED_VALUE"""),"OKAY")</f>
        <v>OKAY</v>
      </c>
      <c r="H40" s="1">
        <f>IFERROR(__xludf.DUMMYFUNCTION("""COMPUTED_VALUE"""),1.0)</f>
        <v>1</v>
      </c>
      <c r="I40" s="1">
        <f>IFERROR(__xludf.DUMMYFUNCTION("""COMPUTED_VALUE"""),1.0)</f>
        <v>1</v>
      </c>
      <c r="J40" s="1">
        <f>IFERROR(__xludf.DUMMYFUNCTION("""COMPUTED_VALUE"""),1.0)</f>
        <v>1</v>
      </c>
      <c r="K40" s="1">
        <f>IFERROR(__xludf.DUMMYFUNCTION("""COMPUTED_VALUE"""),1.0)</f>
        <v>1</v>
      </c>
      <c r="L40" s="1">
        <f>IFERROR(__xludf.DUMMYFUNCTION("""COMPUTED_VALUE"""),1.0)</f>
        <v>1</v>
      </c>
      <c r="M40" s="1">
        <f>IFERROR(__xludf.DUMMYFUNCTION("""COMPUTED_VALUE"""),1.0)</f>
        <v>1</v>
      </c>
      <c r="N40" s="1">
        <f>IFERROR(__xludf.DUMMYFUNCTION("""COMPUTED_VALUE"""),1.0)</f>
        <v>1</v>
      </c>
      <c r="O40" s="1">
        <f>IFERROR(__xludf.DUMMYFUNCTION("""COMPUTED_VALUE"""),1.0)</f>
        <v>1</v>
      </c>
      <c r="P40" s="1"/>
      <c r="Q40" s="1">
        <f>IFERROR(__xludf.DUMMYFUNCTION("""COMPUTED_VALUE"""),4.0)</f>
        <v>4</v>
      </c>
      <c r="R40" s="1"/>
      <c r="S40" s="1"/>
      <c r="T40" s="1"/>
      <c r="U40" s="1">
        <f>IFERROR(__xludf.DUMMYFUNCTION("""COMPUTED_VALUE"""),5.0)</f>
        <v>5</v>
      </c>
      <c r="V40" s="1"/>
      <c r="W40" s="1"/>
      <c r="X40" s="1">
        <f>IFERROR(__xludf.DUMMYFUNCTION("""COMPUTED_VALUE"""),5.0)</f>
        <v>5</v>
      </c>
      <c r="Y40" s="1">
        <f>IFERROR(__xludf.DUMMYFUNCTION("""COMPUTED_VALUE"""),4.0)</f>
        <v>4</v>
      </c>
      <c r="Z40" s="1">
        <f>IFERROR(__xludf.DUMMYFUNCTION("""COMPUTED_VALUE"""),1.0)</f>
        <v>1</v>
      </c>
      <c r="AA40" s="1">
        <f>IFERROR(__xludf.DUMMYFUNCTION("""COMPUTED_VALUE"""),0.5)</f>
        <v>0.5</v>
      </c>
      <c r="AB40" s="1">
        <f>IFERROR(__xludf.DUMMYFUNCTION("""COMPUTED_VALUE"""),1.0)</f>
        <v>1</v>
      </c>
      <c r="AC40" s="1">
        <f>IFERROR(__xludf.DUMMYFUNCTION("""COMPUTED_VALUE"""),4.0)</f>
        <v>4</v>
      </c>
      <c r="AD40" s="1">
        <f>IFERROR(__xludf.DUMMYFUNCTION("""COMPUTED_VALUE"""),1.0)</f>
        <v>1</v>
      </c>
      <c r="AE40" s="1">
        <f>IFERROR(__xludf.DUMMYFUNCTION("""COMPUTED_VALUE"""),3.0)</f>
        <v>3</v>
      </c>
      <c r="AF40" s="1">
        <f>IFERROR(__xludf.DUMMYFUNCTION("""COMPUTED_VALUE"""),6.5)</f>
        <v>6.5</v>
      </c>
      <c r="AG40" s="1">
        <f>IFERROR(__xludf.DUMMYFUNCTION("""COMPUTED_VALUE"""),2.0)</f>
        <v>2</v>
      </c>
      <c r="AH40" s="1">
        <f>IFERROR(__xludf.DUMMYFUNCTION("""COMPUTED_VALUE"""),2.5)</f>
        <v>2.5</v>
      </c>
      <c r="AI40" s="1">
        <f>IFERROR(__xludf.DUMMYFUNCTION("""COMPUTED_VALUE"""),2.0)</f>
        <v>2</v>
      </c>
      <c r="AJ40" s="5">
        <f>IFERROR(__xludf.DUMMYFUNCTION("""COMPUTED_VALUE"""),0.0)</f>
        <v>0</v>
      </c>
      <c r="AK40" s="1">
        <f>IFERROR(__xludf.DUMMYFUNCTION("""COMPUTED_VALUE"""),7.334)</f>
        <v>7.334</v>
      </c>
      <c r="AL40" s="1">
        <f>IFERROR(__xludf.DUMMYFUNCTION("""COMPUTED_VALUE"""),2.7)</f>
        <v>2.7</v>
      </c>
      <c r="AM40" s="1">
        <f>IFERROR(__xludf.DUMMYFUNCTION("""COMPUTED_VALUE"""),0.975)</f>
        <v>0.975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>
      <c r="A41" s="1">
        <f>IFERROR(__xludf.DUMMYFUNCTION("""COMPUTED_VALUE"""),38.0)</f>
        <v>38</v>
      </c>
      <c r="B41" s="1" t="str">
        <f>IFERROR(__xludf.DUMMYFUNCTION("""COMPUTED_VALUE"""),"24201326")</f>
        <v>24201326</v>
      </c>
      <c r="C41" s="1" t="str">
        <f>IFERROR(__xludf.DUMMYFUNCTION("""COMPUTED_VALUE"""),"Md. Zakaria Hafiz")</f>
        <v>Md. Zakaria Hafiz</v>
      </c>
      <c r="D41" s="1" t="str">
        <f>IFERROR(__xludf.DUMMYFUNCTION("""COMPUTED_VALUE"""),"md.zakaria.hafiz@g.bracu.ac.bd")</f>
        <v>md.zakaria.hafiz@g.bracu.ac.bd</v>
      </c>
      <c r="E41" s="1" t="b">
        <f>IFERROR(__xludf.DUMMYFUNCTION("""COMPUTED_VALUE"""),TRUE)</f>
        <v>1</v>
      </c>
      <c r="F41" s="1">
        <f>IFERROR(__xludf.DUMMYFUNCTION("""COMPUTED_VALUE"""),1.0)</f>
        <v>1</v>
      </c>
      <c r="G41" s="1" t="str">
        <f>IFERROR(__xludf.DUMMYFUNCTION("""COMPUTED_VALUE"""),"BARRED")</f>
        <v>BARRED</v>
      </c>
      <c r="H41" s="1">
        <f>IFERROR(__xludf.DUMMYFUNCTION("""COMPUTED_VALUE"""),1.0)</f>
        <v>1</v>
      </c>
      <c r="I41" s="1">
        <f>IFERROR(__xludf.DUMMYFUNCTION("""COMPUTED_VALUE"""),1.0)</f>
        <v>1</v>
      </c>
      <c r="J41" s="1">
        <f>IFERROR(__xludf.DUMMYFUNCTION("""COMPUTED_VALUE"""),1.0)</f>
        <v>1</v>
      </c>
      <c r="K41" s="1">
        <f>IFERROR(__xludf.DUMMYFUNCTION("""COMPUTED_VALUE"""),0.0)</f>
        <v>0</v>
      </c>
      <c r="L41" s="1">
        <f>IFERROR(__xludf.DUMMYFUNCTION("""COMPUTED_VALUE"""),1.0)</f>
        <v>1</v>
      </c>
      <c r="M41" s="1">
        <f>IFERROR(__xludf.DUMMYFUNCTION("""COMPUTED_VALUE"""),1.0)</f>
        <v>1</v>
      </c>
      <c r="N41" s="1">
        <f>IFERROR(__xludf.DUMMYFUNCTION("""COMPUTED_VALUE"""),1.0)</f>
        <v>1</v>
      </c>
      <c r="O41" s="1">
        <f>IFERROR(__xludf.DUMMYFUNCTION("""COMPUTED_VALUE"""),1.0)</f>
        <v>1</v>
      </c>
      <c r="P41" s="1"/>
      <c r="Q41" s="1">
        <f>IFERROR(__xludf.DUMMYFUNCTION("""COMPUTED_VALUE"""),5.0)</f>
        <v>5</v>
      </c>
      <c r="R41" s="1"/>
      <c r="S41" s="1"/>
      <c r="T41" s="1"/>
      <c r="U41" s="1">
        <f>IFERROR(__xludf.DUMMYFUNCTION("""COMPUTED_VALUE"""),5.0)</f>
        <v>5</v>
      </c>
      <c r="V41" s="1"/>
      <c r="W41" s="1"/>
      <c r="X41" s="1">
        <f>IFERROR(__xludf.DUMMYFUNCTION("""COMPUTED_VALUE"""),1.0)</f>
        <v>1</v>
      </c>
      <c r="Y41" s="1">
        <f>IFERROR(__xludf.DUMMYFUNCTION("""COMPUTED_VALUE"""),5.0)</f>
        <v>5</v>
      </c>
      <c r="Z41" s="1">
        <f>IFERROR(__xludf.DUMMYFUNCTION("""COMPUTED_VALUE"""),5.0)</f>
        <v>5</v>
      </c>
      <c r="AA41" s="1">
        <f>IFERROR(__xludf.DUMMYFUNCTION("""COMPUTED_VALUE"""),5.0)</f>
        <v>5</v>
      </c>
      <c r="AB41" s="1">
        <f>IFERROR(__xludf.DUMMYFUNCTION("""COMPUTED_VALUE"""),4.0)</f>
        <v>4</v>
      </c>
      <c r="AC41" s="1">
        <f>IFERROR(__xludf.DUMMYFUNCTION("""COMPUTED_VALUE"""),5.0)</f>
        <v>5</v>
      </c>
      <c r="AD41" s="1"/>
      <c r="AE41" s="1"/>
      <c r="AF41" s="1">
        <f>IFERROR(__xludf.DUMMYFUNCTION("""COMPUTED_VALUE"""),5.4)</f>
        <v>5.4</v>
      </c>
      <c r="AG41" s="1">
        <f>IFERROR(__xludf.DUMMYFUNCTION("""COMPUTED_VALUE"""),4.5)</f>
        <v>4.5</v>
      </c>
      <c r="AH41" s="1">
        <f>IFERROR(__xludf.DUMMYFUNCTION("""COMPUTED_VALUE"""),5.25)</f>
        <v>5.25</v>
      </c>
      <c r="AI41" s="1" t="str">
        <f>IFERROR(__xludf.DUMMYFUNCTION("""COMPUTED_VALUE"""),"P")</f>
        <v>P</v>
      </c>
      <c r="AJ41" s="5" t="str">
        <f>IFERROR(__xludf.DUMMYFUNCTION("""COMPUTED_VALUE"""),"FAIL")</f>
        <v>FAIL</v>
      </c>
      <c r="AK41" s="1">
        <f>IFERROR(__xludf.DUMMYFUNCTION("""COMPUTED_VALUE"""),10.1)</f>
        <v>10.1</v>
      </c>
      <c r="AL41" s="1">
        <f>IFERROR(__xludf.DUMMYFUNCTION("""COMPUTED_VALUE"""),3.0)</f>
        <v>3</v>
      </c>
      <c r="AM41" s="1">
        <f>IFERROR(__xludf.DUMMYFUNCTION("""COMPUTED_VALUE"""),1.25)</f>
        <v>1.25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</sheetData>
  <drawing r:id="rId1"/>
</worksheet>
</file>