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acultyInfo" sheetId="1" r:id="rId5"/>
    <sheet state="visible" name="Marksheet" sheetId="2" r:id="rId6"/>
    <sheet state="visible" name="Assignment Marks" sheetId="3" r:id="rId7"/>
    <sheet state="hidden" name="OBE" sheetId="4" r:id="rId8"/>
  </sheets>
  <definedNames/>
  <calcPr/>
</workbook>
</file>

<file path=xl/sharedStrings.xml><?xml version="1.0" encoding="utf-8"?>
<sst xmlns="http://schemas.openxmlformats.org/spreadsheetml/2006/main" count="1780" uniqueCount="1082">
  <si>
    <t>AAR</t>
  </si>
  <si>
    <t>Mr. Annajiat Alim Rasel</t>
  </si>
  <si>
    <t>Senior Lecturer</t>
  </si>
  <si>
    <t>Full Time</t>
  </si>
  <si>
    <t>4G20</t>
  </si>
  <si>
    <t>annajiat@bracu.ac.bd</t>
  </si>
  <si>
    <t>ACH</t>
  </si>
  <si>
    <t>Dr. Amitabha Chakrabarty</t>
  </si>
  <si>
    <t>Professor</t>
  </si>
  <si>
    <t>4G25</t>
  </si>
  <si>
    <t>amitabha@bracu.ac.bd</t>
  </si>
  <si>
    <t>ADU</t>
  </si>
  <si>
    <t>Mr. Ahmed Mahir Ruhan</t>
  </si>
  <si>
    <t>Lecturer</t>
  </si>
  <si>
    <t>4L93</t>
  </si>
  <si>
    <t>ahmed.ruhan@bracu.ac.bd</t>
  </si>
  <si>
    <t>AFA</t>
  </si>
  <si>
    <t>Afroza Akhter</t>
  </si>
  <si>
    <t>4K79</t>
  </si>
  <si>
    <t>afroza.akther@bracu.ac.bd</t>
  </si>
  <si>
    <t>AFQ</t>
  </si>
  <si>
    <t>Mohammed Ashfaqul Haque</t>
  </si>
  <si>
    <t>4N137</t>
  </si>
  <si>
    <t>ashfaqul.haque@bracu.ac.bd</t>
  </si>
  <si>
    <t>AHU</t>
  </si>
  <si>
    <t>Mr. Md. Ahasanul Alam</t>
  </si>
  <si>
    <t>4M133</t>
  </si>
  <si>
    <t>ahasanul.alam@bracu.ac.bd</t>
  </si>
  <si>
    <t>AIB</t>
  </si>
  <si>
    <t>Mr. Md. Abu Ibrahim</t>
  </si>
  <si>
    <t>4J59</t>
  </si>
  <si>
    <t>abu.ibrahim@bracu.ac.bd</t>
  </si>
  <si>
    <t>AJA</t>
  </si>
  <si>
    <t>Mr. Abid Jahan Apon</t>
  </si>
  <si>
    <t>4M116</t>
  </si>
  <si>
    <t>abid.jahan@bracu.ac.bd</t>
  </si>
  <si>
    <t>AKJ</t>
  </si>
  <si>
    <t>Akib Anjum</t>
  </si>
  <si>
    <t>4N161</t>
  </si>
  <si>
    <t>anjum.akib@bracu.ac.bd</t>
  </si>
  <si>
    <t>AKTD</t>
  </si>
  <si>
    <t>Md. Akhtaruzaman Adnan</t>
  </si>
  <si>
    <t>4G16</t>
  </si>
  <si>
    <t>akhtaruzzaman.adnan@bracu.ac.bd</t>
  </si>
  <si>
    <t>AMK</t>
  </si>
  <si>
    <t>Dr. Abu Mohammad Khan</t>
  </si>
  <si>
    <t>Associate Professor</t>
  </si>
  <si>
    <t>4G26</t>
  </si>
  <si>
    <t>abu.khan@bracu.ac.bd</t>
  </si>
  <si>
    <t>ANK</t>
  </si>
  <si>
    <t>Mr. Abdullah Al Nakib</t>
  </si>
  <si>
    <t>4J58</t>
  </si>
  <si>
    <t>abdullah.alnakib@bracu.ac.bd</t>
  </si>
  <si>
    <t>ANWE</t>
  </si>
  <si>
    <t>Abdullah Nayem Wasi Emran</t>
  </si>
  <si>
    <t>4N146</t>
  </si>
  <si>
    <t>abdullah.nayem@bracu.ac.bd</t>
  </si>
  <si>
    <t>AQT</t>
  </si>
  <si>
    <t>Aniqa Tabassum</t>
  </si>
  <si>
    <t>4N150</t>
  </si>
  <si>
    <t>aniqa.tabassum@bracu.ac.bd</t>
  </si>
  <si>
    <t>AQU</t>
  </si>
  <si>
    <t>Mr. Md. Aquib Azmain</t>
  </si>
  <si>
    <t>4M104</t>
  </si>
  <si>
    <t>aquib.azmain@bracu.ac.bd</t>
  </si>
  <si>
    <t>ARD</t>
  </si>
  <si>
    <t>Mr. Ayman Rasheed</t>
  </si>
  <si>
    <t>4M129</t>
  </si>
  <si>
    <t>ayman.rasheed@bracu.ac.bd</t>
  </si>
  <si>
    <t>ARF</t>
  </si>
  <si>
    <t>Mr. Arif Shakil</t>
  </si>
  <si>
    <t>4G03</t>
  </si>
  <si>
    <t>arif.shakil@bracu.ac.bd</t>
  </si>
  <si>
    <t>ART</t>
  </si>
  <si>
    <t>Atanu Roy</t>
  </si>
  <si>
    <t>4M126</t>
  </si>
  <si>
    <t>atanu.roy@bracu.ac.bd</t>
  </si>
  <si>
    <t>ASA</t>
  </si>
  <si>
    <t>Dr. Md. Ashraful Alam</t>
  </si>
  <si>
    <t>4G24</t>
  </si>
  <si>
    <t>ashraful.alam@bracu.ac.bd</t>
  </si>
  <si>
    <t>ASAK</t>
  </si>
  <si>
    <t>Arnob Saha Ankon</t>
  </si>
  <si>
    <t>4M102</t>
  </si>
  <si>
    <t>arnob.ankon@bracu.ac.bd</t>
  </si>
  <si>
    <t>ASRK</t>
  </si>
  <si>
    <t>Md. Ashrafur Rahman Khan</t>
  </si>
  <si>
    <t>4M120</t>
  </si>
  <si>
    <t>ashrafur.khan@bracu.ac.bd</t>
  </si>
  <si>
    <t>ATY</t>
  </si>
  <si>
    <t>Ateya Ahmed Subarna</t>
  </si>
  <si>
    <t>4K77</t>
  </si>
  <si>
    <t>ateya.ahmed@bracu.ac.bd</t>
  </si>
  <si>
    <t>AVB</t>
  </si>
  <si>
    <t>Mr. Avinandan Banerjee</t>
  </si>
  <si>
    <t>4M118</t>
  </si>
  <si>
    <t>avinandan@bracu.ac.bd</t>
  </si>
  <si>
    <t>AYO</t>
  </si>
  <si>
    <t>Ariyan Hossain</t>
  </si>
  <si>
    <t>4N153</t>
  </si>
  <si>
    <t>ariyan.hossain@bracu.ac.bd</t>
  </si>
  <si>
    <t>BDH</t>
  </si>
  <si>
    <t>Mr. Mohammad Badrul Hossain</t>
  </si>
  <si>
    <t>4J67</t>
  </si>
  <si>
    <t>badrul.hossain@bracu.ac.bd</t>
  </si>
  <si>
    <t>BIJS</t>
  </si>
  <si>
    <t>Bijoy Ahmed Saiem</t>
  </si>
  <si>
    <t>4M130</t>
  </si>
  <si>
    <t>bijoy.saiem@bracu.ac.bd</t>
  </si>
  <si>
    <t>CMR</t>
  </si>
  <si>
    <t>Dr. Chowdhury Mofizur Rahman</t>
  </si>
  <si>
    <t>4G18</t>
  </si>
  <si>
    <t>rahman.mofizur@bracu.ac.bd</t>
  </si>
  <si>
    <t>DFD</t>
  </si>
  <si>
    <t>Mr. Dibyo Fabian Dofadar</t>
  </si>
  <si>
    <t>4M106</t>
  </si>
  <si>
    <t>fabian.dofadar@bracu.ac.bd</t>
  </si>
  <si>
    <t>DPU</t>
  </si>
  <si>
    <t>Mr. Shoaib Ahmed Dipu</t>
  </si>
  <si>
    <t>4J63</t>
  </si>
  <si>
    <t>shoaib.ahmed@bracu.ac.bd</t>
  </si>
  <si>
    <t>DZK</t>
  </si>
  <si>
    <t>Mr. Dewan Ziaul Karim</t>
  </si>
  <si>
    <t>4G05</t>
  </si>
  <si>
    <t>ziaul.karim@bracu.ac.bd</t>
  </si>
  <si>
    <t>EHQ</t>
  </si>
  <si>
    <t>Ehtashamul Haque</t>
  </si>
  <si>
    <t>4N168</t>
  </si>
  <si>
    <t>ehtashamul.haque@bracu.ac.bd</t>
  </si>
  <si>
    <t>FARS</t>
  </si>
  <si>
    <t>Ahmad Farhan Shahriar Chowdhury</t>
  </si>
  <si>
    <t>4N145</t>
  </si>
  <si>
    <t>farhan.shahriar@bracu.ac.bd</t>
  </si>
  <si>
    <t>FBAW</t>
  </si>
  <si>
    <t>Faria Binta Awal</t>
  </si>
  <si>
    <t>4K84</t>
  </si>
  <si>
    <t>faria.awal@bracu.ac.bd</t>
  </si>
  <si>
    <t>FDC</t>
  </si>
  <si>
    <t>Dr. Farida Chowdhury</t>
  </si>
  <si>
    <t>4G09</t>
  </si>
  <si>
    <t>farida.chowdhury@bracu.ac.bd</t>
  </si>
  <si>
    <t>FEK</t>
  </si>
  <si>
    <t>Farden Ehsan Khan</t>
  </si>
  <si>
    <t>4M117</t>
  </si>
  <si>
    <t>farden.khan@bracu.ac.bd</t>
  </si>
  <si>
    <t>FFR</t>
  </si>
  <si>
    <t>Md. Fatin Ishraq Faruqui</t>
  </si>
  <si>
    <t>4N169</t>
  </si>
  <si>
    <t>md.fatin@bracu.ac.bd</t>
  </si>
  <si>
    <t>FGZ</t>
  </si>
  <si>
    <t>Mr. Md. Fakhruddin Gazzali</t>
  </si>
  <si>
    <t>4M103</t>
  </si>
  <si>
    <t>fakhruddin.gazzali@bracu.ac.bd</t>
  </si>
  <si>
    <t>FIC</t>
  </si>
  <si>
    <t>Fatiha Ishrar Chowdhury</t>
  </si>
  <si>
    <t>4K81</t>
  </si>
  <si>
    <t>fatiha.ishrar@bracu.ac.bd</t>
  </si>
  <si>
    <t>FYS</t>
  </si>
  <si>
    <t>Dr. Farig Yousuf Sadeque</t>
  </si>
  <si>
    <t>4G29</t>
  </si>
  <si>
    <t>farig.sadeque@bracu.ac.bd</t>
  </si>
  <si>
    <t>FZN</t>
  </si>
  <si>
    <t>Kh.Fardin Zubair Nafis</t>
  </si>
  <si>
    <t>4N155</t>
  </si>
  <si>
    <t>fardin.zubair@bracu.ac.bd</t>
  </si>
  <si>
    <t>GRA</t>
  </si>
  <si>
    <t>Dr. Md. Golam Rabiul Alam</t>
  </si>
  <si>
    <t>4G23</t>
  </si>
  <si>
    <t>rabiul.alam@bracu.ac.bd</t>
  </si>
  <si>
    <t>HFN</t>
  </si>
  <si>
    <t>Sheikh Araf Noshin</t>
  </si>
  <si>
    <t>4N144</t>
  </si>
  <si>
    <t>araf.noshin@bracu.ac.bd</t>
  </si>
  <si>
    <t>HMH</t>
  </si>
  <si>
    <t>Mir Hamidul Hussain</t>
  </si>
  <si>
    <t>4N167</t>
  </si>
  <si>
    <t>hamidul.hussain@bracu.ac.bd</t>
  </si>
  <si>
    <t>IBA</t>
  </si>
  <si>
    <t>Mr. Md. Imran Bin Azad</t>
  </si>
  <si>
    <t>4G02</t>
  </si>
  <si>
    <t>imran.azad@bracu.ac.bd</t>
  </si>
  <si>
    <t>IBU</t>
  </si>
  <si>
    <t>Ms. Ipshita Bonhi Upoma</t>
  </si>
  <si>
    <t>4K78</t>
  </si>
  <si>
    <t>ipshita.upoma@bracu.ac.bd</t>
  </si>
  <si>
    <t>ISAS</t>
  </si>
  <si>
    <t>Md. Ishrak Ahsan</t>
  </si>
  <si>
    <t>4M113</t>
  </si>
  <si>
    <t>ishrak.ahsan@bracu.ac.bd</t>
  </si>
  <si>
    <t>ITTSC</t>
  </si>
  <si>
    <t>Ittehad Saleh Chowdhury</t>
  </si>
  <si>
    <t>4P196</t>
  </si>
  <si>
    <t>ittehad.chowdhury@bracu.ac.bd</t>
  </si>
  <si>
    <t>KHR</t>
  </si>
  <si>
    <t>Dr. Md. Khalilur Rahman</t>
  </si>
  <si>
    <t>4G08</t>
  </si>
  <si>
    <t>khalilur@bracu.ac.bd</t>
  </si>
  <si>
    <t>KKP</t>
  </si>
  <si>
    <t>Mr. Kabbya Kantam Patwary</t>
  </si>
  <si>
    <t>4J57</t>
  </si>
  <si>
    <t>kabbya.kantam@bracu.ac.bd</t>
  </si>
  <si>
    <t>KKS</t>
  </si>
  <si>
    <t>Md. Khaliduzzaman Khan Samrat</t>
  </si>
  <si>
    <t>4L89</t>
  </si>
  <si>
    <t>md.khaliduzzaman@bracu.ac.bd</t>
  </si>
  <si>
    <t>KNI</t>
  </si>
  <si>
    <t>Ms. Khondoker Nazia Iqbal</t>
  </si>
  <si>
    <t>4K86</t>
  </si>
  <si>
    <t>nazia.iqbal@bracu.ac.bd</t>
  </si>
  <si>
    <t>KYK</t>
  </si>
  <si>
    <t>Dr. Mohammad Kaykobad</t>
  </si>
  <si>
    <t>4G11</t>
  </si>
  <si>
    <t>kaykobad@bracu.ac.bd</t>
  </si>
  <si>
    <t>KZMN</t>
  </si>
  <si>
    <t>Kazi Kamruzzaman Rabbi</t>
  </si>
  <si>
    <t>4N162</t>
  </si>
  <si>
    <t>kazi.kamruzzaman@bracu.ac.bd</t>
  </si>
  <si>
    <t>LBBH</t>
  </si>
  <si>
    <t>Labib Hasan Khan</t>
  </si>
  <si>
    <t>4N163</t>
  </si>
  <si>
    <t>labib.hasan@bracu.ac.bd</t>
  </si>
  <si>
    <t>LRK</t>
  </si>
  <si>
    <t>Lara khanom</t>
  </si>
  <si>
    <t>4K74</t>
  </si>
  <si>
    <t>lara.khanom@bracu.ac.bd</t>
  </si>
  <si>
    <t>MAHR</t>
  </si>
  <si>
    <t>Mahrin Tasfe</t>
  </si>
  <si>
    <t>4G30</t>
  </si>
  <si>
    <t>mahrin.tasfe@bracu.ac.bd</t>
  </si>
  <si>
    <t>MAJIJ</t>
  </si>
  <si>
    <t>Majisha Jahan Disha</t>
  </si>
  <si>
    <t>4K71</t>
  </si>
  <si>
    <t>majisha.jahan@bracu.ac.bd</t>
  </si>
  <si>
    <t>MAU</t>
  </si>
  <si>
    <t>Marshia Nujhat</t>
  </si>
  <si>
    <t>4K85</t>
  </si>
  <si>
    <t>marshia.nujhat@bracu.ac.bd</t>
  </si>
  <si>
    <t>MDF</t>
  </si>
  <si>
    <t>Mr. Mohammad Fahim</t>
  </si>
  <si>
    <t>4J52</t>
  </si>
  <si>
    <t>mohammad.fahim@bracu.ac.bd</t>
  </si>
  <si>
    <t>MFSQ</t>
  </si>
  <si>
    <t>Mr. Md. Farhan Shadiq</t>
  </si>
  <si>
    <t>4N139</t>
  </si>
  <si>
    <t>farhan.shadiq@bracu.ac.bd</t>
  </si>
  <si>
    <t>MHDE</t>
  </si>
  <si>
    <t>Mehedi Hasan Emo</t>
  </si>
  <si>
    <t>4M134</t>
  </si>
  <si>
    <t>mehedi.emo@bracu.ac.bd</t>
  </si>
  <si>
    <t>MIH</t>
  </si>
  <si>
    <t>Dr. Muhammad Iqbal Hossain</t>
  </si>
  <si>
    <t>4G22</t>
  </si>
  <si>
    <t>iqbal.hossain@bracu.ac.bd</t>
  </si>
  <si>
    <t>MLDH</t>
  </si>
  <si>
    <t>Mahir Labib Dihan</t>
  </si>
  <si>
    <t>4M123</t>
  </si>
  <si>
    <t>labib.mahir@bracu.ac.bd</t>
  </si>
  <si>
    <t>MMM</t>
  </si>
  <si>
    <t>Mr. Moin Mostakim</t>
  </si>
  <si>
    <t>mostakim@bracu.ac.bd</t>
  </si>
  <si>
    <t>MNP</t>
  </si>
  <si>
    <t>Mushfique Nasir Probor</t>
  </si>
  <si>
    <t>4L90</t>
  </si>
  <si>
    <t>mushfique.nasir@bracu.ac.bd</t>
  </si>
  <si>
    <t>MNW</t>
  </si>
  <si>
    <t>Mohammad Nuwaisir Rahman</t>
  </si>
  <si>
    <t>4M122</t>
  </si>
  <si>
    <t>nuwaisir.rahman@bracu.ac.bd</t>
  </si>
  <si>
    <t>MNY</t>
  </si>
  <si>
    <t>Dr. Muhammad Nur Yanhaona</t>
  </si>
  <si>
    <t>4G06</t>
  </si>
  <si>
    <t>nur.yanhaona@bracu.ac.bd</t>
  </si>
  <si>
    <t>MOM</t>
  </si>
  <si>
    <t>Md. Moynul Asik Moni</t>
  </si>
  <si>
    <t>4N158</t>
  </si>
  <si>
    <t>moynul.moni@bracu.ac.bd</t>
  </si>
  <si>
    <t>MSA</t>
  </si>
  <si>
    <t>Dr. Matin Saad Abdullah</t>
  </si>
  <si>
    <t>4G04</t>
  </si>
  <si>
    <t>mabdullah@bracu.ac.bd</t>
  </si>
  <si>
    <t>MSAH</t>
  </si>
  <si>
    <t>Dr. Md. Sakir Hossain</t>
  </si>
  <si>
    <t>4G17</t>
  </si>
  <si>
    <t>sakir.hossain@bracu.ac.bd</t>
  </si>
  <si>
    <t>MSI</t>
  </si>
  <si>
    <t>Mr. Md. Saiful Islam</t>
  </si>
  <si>
    <t>4G12</t>
  </si>
  <si>
    <t>md.saiful.islam@bracu.ac.bd</t>
  </si>
  <si>
    <t>MSMA</t>
  </si>
  <si>
    <t>Mr. Md. Shamim Mia</t>
  </si>
  <si>
    <t>4M110</t>
  </si>
  <si>
    <t>shamim.mia@bracu.ac.bd</t>
  </si>
  <si>
    <t>MUNR</t>
  </si>
  <si>
    <t>A B M Muntasir Rahman</t>
  </si>
  <si>
    <t>4L95</t>
  </si>
  <si>
    <t>abm.muntasir@bracu.ac.bd</t>
  </si>
  <si>
    <t>NAFR</t>
  </si>
  <si>
    <t>Md Nafiu Rahman</t>
  </si>
  <si>
    <t>4N138</t>
  </si>
  <si>
    <t>nafiu.rahman@bracu.ac.bd</t>
  </si>
  <si>
    <t>NAN</t>
  </si>
  <si>
    <t>Sumonta Nandy Amit</t>
  </si>
  <si>
    <t>4J55</t>
  </si>
  <si>
    <t>sumonta.amit@bracu.ac.bd</t>
  </si>
  <si>
    <t>NAST</t>
  </si>
  <si>
    <t>Nazmus Sakib Touhid</t>
  </si>
  <si>
    <t>4P195</t>
  </si>
  <si>
    <t>nazmus.touhid@bracu.ac.bd</t>
  </si>
  <si>
    <t>NDT</t>
  </si>
  <si>
    <t>NIRJHOR DATTA</t>
  </si>
  <si>
    <t>4N136</t>
  </si>
  <si>
    <t>nirjhor.datta@bracu.ac.bd</t>
  </si>
  <si>
    <t>NLH</t>
  </si>
  <si>
    <t>Niloy Farhan</t>
  </si>
  <si>
    <t>4N135</t>
  </si>
  <si>
    <t>niloy.farhan@bracu.ac.bd</t>
  </si>
  <si>
    <t>NNC</t>
  </si>
  <si>
    <t>Ms. Najeefa Nikhat Choudhury</t>
  </si>
  <si>
    <t>najeefa.chy@bracu.ac.bd</t>
  </si>
  <si>
    <t>NTR</t>
  </si>
  <si>
    <t>Ms. Narzu Tarannum</t>
  </si>
  <si>
    <t>4G21</t>
  </si>
  <si>
    <t>narzu.tarannum@bracu.ac.bd</t>
  </si>
  <si>
    <t>NZRF</t>
  </si>
  <si>
    <t>Niaz Ashraf Khan</t>
  </si>
  <si>
    <t>4M125</t>
  </si>
  <si>
    <t>niaz.ashraf@bracu.ac.bd</t>
  </si>
  <si>
    <t>NZU</t>
  </si>
  <si>
    <t>Nazmul Islam</t>
  </si>
  <si>
    <t>4L88</t>
  </si>
  <si>
    <t>nazmul.islam1@bracu.ac.bd</t>
  </si>
  <si>
    <t>PBK</t>
  </si>
  <si>
    <t>Mr. Partha Bhoumik</t>
  </si>
  <si>
    <t>4M108</t>
  </si>
  <si>
    <t>partha.bhoumik@bracu.ac.bd</t>
  </si>
  <si>
    <t>PDS</t>
  </si>
  <si>
    <t>Mr. Purbayan Das</t>
  </si>
  <si>
    <t>4N140</t>
  </si>
  <si>
    <t>purbayan.das@bracu.ac.bd</t>
  </si>
  <si>
    <t>PSMD</t>
  </si>
  <si>
    <t>Prothito Shovon Majumder</t>
  </si>
  <si>
    <t>4M115</t>
  </si>
  <si>
    <t>prothito.shovon@bracu.ac.bd</t>
  </si>
  <si>
    <t>QUZA</t>
  </si>
  <si>
    <t>Quazi Ashikur Rahman</t>
  </si>
  <si>
    <t>4L87</t>
  </si>
  <si>
    <t>quazi.ashikur@bracu.ac.bd</t>
  </si>
  <si>
    <t>RAK</t>
  </si>
  <si>
    <t>Mr. Rubayat Ahmed Khan</t>
  </si>
  <si>
    <t>rubayat.ahmed@bracu.ac.bd</t>
  </si>
  <si>
    <t>RAS</t>
  </si>
  <si>
    <t>Md. Rasel Mia</t>
  </si>
  <si>
    <t>4N147</t>
  </si>
  <si>
    <t>rasel.mia@bracu.ac.bd</t>
  </si>
  <si>
    <t>RBR</t>
  </si>
  <si>
    <t>Mr. Rakin Bin Rabbani</t>
  </si>
  <si>
    <t>4J60</t>
  </si>
  <si>
    <t>rakin.rabbani@bracu.ac.bd</t>
  </si>
  <si>
    <t>RDW</t>
  </si>
  <si>
    <t>Redowanul Akbar</t>
  </si>
  <si>
    <t>4J56</t>
  </si>
  <si>
    <t>redowanul.akbar@bracu.ac.bd</t>
  </si>
  <si>
    <t>RFF</t>
  </si>
  <si>
    <t>Rafid Ahnaf</t>
  </si>
  <si>
    <t>4P180</t>
  </si>
  <si>
    <t>rafid.ahnaf@bracu.ac.bd</t>
  </si>
  <si>
    <t>RFR</t>
  </si>
  <si>
    <t>Md. Rifat Rahman</t>
  </si>
  <si>
    <t>4N164</t>
  </si>
  <si>
    <t>rifat.rahman@bracu.ac.bd</t>
  </si>
  <si>
    <t>RFTS</t>
  </si>
  <si>
    <t>Rifa Tasfiya</t>
  </si>
  <si>
    <t>4K69</t>
  </si>
  <si>
    <t>rifa.tasfiya@bracu.ac.bd</t>
  </si>
  <si>
    <t>RHD</t>
  </si>
  <si>
    <t>Imran Zahid</t>
  </si>
  <si>
    <t>4M127</t>
  </si>
  <si>
    <t>imran.zahid@bracu.ac.bd</t>
  </si>
  <si>
    <t>RKBM</t>
  </si>
  <si>
    <t>Mohammad Rakibul Hasan Mahin</t>
  </si>
  <si>
    <t>4L92</t>
  </si>
  <si>
    <t>mohammad.rakibul@bracu.ac.bd</t>
  </si>
  <si>
    <t>RKN</t>
  </si>
  <si>
    <t>Raisul Kabir News</t>
  </si>
  <si>
    <t>4L94</t>
  </si>
  <si>
    <t>raisul.kabir@bracu.ac.bd</t>
  </si>
  <si>
    <t>ROSO</t>
  </si>
  <si>
    <t>MD. Roqunuzzaman Sojib</t>
  </si>
  <si>
    <t>4M121</t>
  </si>
  <si>
    <t>roqunuzzaman.sojib@bracu.ac.bd</t>
  </si>
  <si>
    <t>RRH</t>
  </si>
  <si>
    <t>Mr. Rafeed Rahman</t>
  </si>
  <si>
    <t>4J64</t>
  </si>
  <si>
    <t>rahman.rafeed@bracu.ac.bd</t>
  </si>
  <si>
    <t>RSS</t>
  </si>
  <si>
    <t>Rafiad Sadat Shahir</t>
  </si>
  <si>
    <t>4N154</t>
  </si>
  <si>
    <t>rafiad.shahir@bracu.ac.bd</t>
  </si>
  <si>
    <t>SADA</t>
  </si>
  <si>
    <t>Sadif Ahmed</t>
  </si>
  <si>
    <t>4P197</t>
  </si>
  <si>
    <t>sadif.ahmed@bracu.ac.bd</t>
  </si>
  <si>
    <t>SADF</t>
  </si>
  <si>
    <t>Saadat Rafid Ahmed</t>
  </si>
  <si>
    <t>4J51</t>
  </si>
  <si>
    <t>saadat.ahmed@bracu.ac.bd</t>
  </si>
  <si>
    <t>SBB</t>
  </si>
  <si>
    <t>Md. Sabbir Ahmed</t>
  </si>
  <si>
    <t>4M107</t>
  </si>
  <si>
    <t>sabbir.ahmed@bracu.ac.bd</t>
  </si>
  <si>
    <t>SBHN</t>
  </si>
  <si>
    <t>Mr. Md Sabbir Hossain</t>
  </si>
  <si>
    <t>4J54</t>
  </si>
  <si>
    <t>sabbir.hossain@bracu.ac.bd</t>
  </si>
  <si>
    <t>SDAS</t>
  </si>
  <si>
    <t>Sowmitra Das</t>
  </si>
  <si>
    <t>4N142</t>
  </si>
  <si>
    <t>sowmitra.das@bracu.ac.bd</t>
  </si>
  <si>
    <t>SDF</t>
  </si>
  <si>
    <t>Dr. Md Sadek Ferdous</t>
  </si>
  <si>
    <t>4G10</t>
  </si>
  <si>
    <t>sadek.ferdous@bracu.ac.bd</t>
  </si>
  <si>
    <t>SDL</t>
  </si>
  <si>
    <t>Shadmin Sultana</t>
  </si>
  <si>
    <t>4N151</t>
  </si>
  <si>
    <t>shadmin.sultana@bracu.ac.bd</t>
  </si>
  <si>
    <t>SDQ</t>
  </si>
  <si>
    <t>Mr. Md. Saiful Bari Siddiqui</t>
  </si>
  <si>
    <t>4N152</t>
  </si>
  <si>
    <t>saiful.bari@bracu.ac.bd</t>
  </si>
  <si>
    <t>SDS</t>
  </si>
  <si>
    <t>Mr. Shadman Shahriar</t>
  </si>
  <si>
    <t>4N143</t>
  </si>
  <si>
    <t>shadman.shahriar@bracu.ac.bd</t>
  </si>
  <si>
    <t>SDU</t>
  </si>
  <si>
    <t>Shomen Kundu</t>
  </si>
  <si>
    <t>4N148</t>
  </si>
  <si>
    <t>shomen.kundu@bracu.ac.bd</t>
  </si>
  <si>
    <t>SHAH</t>
  </si>
  <si>
    <t>Asif Shahriar</t>
  </si>
  <si>
    <t>4M124</t>
  </si>
  <si>
    <t>asif.shahriar@bracu.ac.bd</t>
  </si>
  <si>
    <t>SHBK</t>
  </si>
  <si>
    <t>Sahib Kowsar</t>
  </si>
  <si>
    <t>4L91</t>
  </si>
  <si>
    <t>sahib.kowsar@bracu.ac.bd</t>
  </si>
  <si>
    <t>SHDM</t>
  </si>
  <si>
    <t>K. M. Shadman Wadith</t>
  </si>
  <si>
    <t>4M132</t>
  </si>
  <si>
    <t>shadman.wadith@bracu.ac.bd</t>
  </si>
  <si>
    <t>SHRR</t>
  </si>
  <si>
    <t>Mr. Shahriar Rahman Rana</t>
  </si>
  <si>
    <t>4M105</t>
  </si>
  <si>
    <t>shahriar.rahman@bracu.ac.bd</t>
  </si>
  <si>
    <t>SKZ</t>
  </si>
  <si>
    <t>Dr. Sadia Hamid Kazi</t>
  </si>
  <si>
    <t>Associate Professor &amp; Chairperson</t>
  </si>
  <si>
    <t>4G32</t>
  </si>
  <si>
    <t>skazi@bracu.ac.bd</t>
  </si>
  <si>
    <t>SMUR</t>
  </si>
  <si>
    <t>Samiur Rahman</t>
  </si>
  <si>
    <t>4P179</t>
  </si>
  <si>
    <t>rahman.samiur@bracu.ac.bd</t>
  </si>
  <si>
    <t>SOSB</t>
  </si>
  <si>
    <t>Soumya Swagata Biswas</t>
  </si>
  <si>
    <t>4P198</t>
  </si>
  <si>
    <t>soumya.swagata@bracu.ac.bd</t>
  </si>
  <si>
    <t>SRJ</t>
  </si>
  <si>
    <t>Ms. Mehnaz Seraj</t>
  </si>
  <si>
    <t>seraj.mehnaz@bracu.ac.bd</t>
  </si>
  <si>
    <t>SRU</t>
  </si>
  <si>
    <t>Mr. Shakir Rouf</t>
  </si>
  <si>
    <t>4J53</t>
  </si>
  <si>
    <t>shakir.rouf@bracu.ac.bd</t>
  </si>
  <si>
    <t>SUE</t>
  </si>
  <si>
    <t>Sukarna Sarker</t>
  </si>
  <si>
    <t>4K82</t>
  </si>
  <si>
    <t>sukarna.sarkar@bracu.ac.bd</t>
  </si>
  <si>
    <t>SULT</t>
  </si>
  <si>
    <t>Md. Sultanul Arifin</t>
  </si>
  <si>
    <t>4M114</t>
  </si>
  <si>
    <t>sultanul.arifin@bracu.ac.bd</t>
  </si>
  <si>
    <t>SVKG</t>
  </si>
  <si>
    <t>Souvik Ghosh</t>
  </si>
  <si>
    <t>4M131</t>
  </si>
  <si>
    <t>souvik.ghosh@bracu.ac.bd</t>
  </si>
  <si>
    <t>SWG</t>
  </si>
  <si>
    <t>Mr. Swattic Ghose</t>
  </si>
  <si>
    <t>4M109</t>
  </si>
  <si>
    <t>swattic.ghose@bracu.ac.bd</t>
  </si>
  <si>
    <t>SWK</t>
  </si>
  <si>
    <t>Dr. Swakkhar Shatabda</t>
  </si>
  <si>
    <t>4G28</t>
  </si>
  <si>
    <t>swakkhar.shatabda@bracu.ac.bd</t>
  </si>
  <si>
    <t>SWV</t>
  </si>
  <si>
    <t>Showvik Biswas</t>
  </si>
  <si>
    <t>4M128</t>
  </si>
  <si>
    <t>showvik.biswas@bracu.ac.bd</t>
  </si>
  <si>
    <t>SZD</t>
  </si>
  <si>
    <t>Md. Shazid Bin Mahbub</t>
  </si>
  <si>
    <t>4J65</t>
  </si>
  <si>
    <t>shazid.mahbub@bracu.ac.bd</t>
  </si>
  <si>
    <t>SZZ</t>
  </si>
  <si>
    <t>Sazzadul Islam</t>
  </si>
  <si>
    <t>4N165</t>
  </si>
  <si>
    <t>sazzadul.islam@bracu.ac.bd</t>
  </si>
  <si>
    <t>TAP</t>
  </si>
  <si>
    <t>Ms. Tasnim Ahsan Prome</t>
  </si>
  <si>
    <t>4K83</t>
  </si>
  <si>
    <t>tasnim.ahsan@bracu.ac.bd</t>
  </si>
  <si>
    <t>TAV</t>
  </si>
  <si>
    <t>Tarvir Anjum Aditto</t>
  </si>
  <si>
    <t>4N159</t>
  </si>
  <si>
    <t>tarvir.anjum@bracu.ac.bd</t>
  </si>
  <si>
    <t>TAW</t>
  </si>
  <si>
    <t>Mr. Md. Tawhid Anwar</t>
  </si>
  <si>
    <t>tawhid.anwar@bracu.ac.bd</t>
  </si>
  <si>
    <t>THL</t>
  </si>
  <si>
    <t>Mohammad Tahsin Alam</t>
  </si>
  <si>
    <t>4N166</t>
  </si>
  <si>
    <t>tahsin.alam@bracu.ac.bd</t>
  </si>
  <si>
    <t>TMD</t>
  </si>
  <si>
    <t>Mr. Tamkin Mahmud Tan</t>
  </si>
  <si>
    <t>4J62</t>
  </si>
  <si>
    <t>tamkin.mahmud@bracu.ac.bd</t>
  </si>
  <si>
    <t>TNF</t>
  </si>
  <si>
    <t>Tanhiat Fatema Afnan</t>
  </si>
  <si>
    <t>4K76</t>
  </si>
  <si>
    <t>tanhiat.fatema@bracu.ac.bd</t>
  </si>
  <si>
    <t>TRZ</t>
  </si>
  <si>
    <t>Mr. Md. Tanzim Reza</t>
  </si>
  <si>
    <t>tanzim.reza@bracu.ac.bd</t>
  </si>
  <si>
    <t>TSE</t>
  </si>
  <si>
    <t>Tasneem Mazhar</t>
  </si>
  <si>
    <t>4N157</t>
  </si>
  <si>
    <t>tasneem.mazhar@bracu.ac.bd</t>
  </si>
  <si>
    <t>TSM</t>
  </si>
  <si>
    <t>Mr. Mirza Md. Tanjim Shorif Mugdho</t>
  </si>
  <si>
    <t>4J66</t>
  </si>
  <si>
    <t>mirza.mugdho@bracu.ac.bd</t>
  </si>
  <si>
    <t>TVRR</t>
  </si>
  <si>
    <t>Tanveer Rahman</t>
  </si>
  <si>
    <t>4M112</t>
  </si>
  <si>
    <t>tanveer.rahman@bracu.ac.bd</t>
  </si>
  <si>
    <t>TWK</t>
  </si>
  <si>
    <t>Towshik Anam Taj</t>
  </si>
  <si>
    <t>4M119</t>
  </si>
  <si>
    <t>towshik.taj@bracu.ac.bd</t>
  </si>
  <si>
    <t>UJT</t>
  </si>
  <si>
    <t>Umme Jannat Taposhi</t>
  </si>
  <si>
    <t>4K80</t>
  </si>
  <si>
    <t>jannat.taposhi@bracu.ac.bd</t>
  </si>
  <si>
    <t>UPM</t>
  </si>
  <si>
    <t>Tasnim Sobhan Upoma</t>
  </si>
  <si>
    <t>4N141</t>
  </si>
  <si>
    <t>tasnim.upoma@bracu.ac.bd</t>
  </si>
  <si>
    <t>UTKR</t>
  </si>
  <si>
    <t>Utsha Kumar Roy</t>
  </si>
  <si>
    <t>4P199</t>
  </si>
  <si>
    <t>utsha.roy@bracu.ac.bd</t>
  </si>
  <si>
    <t>UTS</t>
  </si>
  <si>
    <t>Utsab Saha</t>
  </si>
  <si>
    <t>4N170</t>
  </si>
  <si>
    <t>utsab.saha@bracu.ac.bd</t>
  </si>
  <si>
    <t>YND</t>
  </si>
  <si>
    <t>Yasmin Nadia</t>
  </si>
  <si>
    <t>4K70</t>
  </si>
  <si>
    <t>yasmin.nadia@bracu.ac.bd</t>
  </si>
  <si>
    <t>ZAZ</t>
  </si>
  <si>
    <t>Ihzaz Abrar Sadik</t>
  </si>
  <si>
    <t>4N160</t>
  </si>
  <si>
    <t>ihzaz.sadik@bracu.ac.bd</t>
  </si>
  <si>
    <t>ZHS</t>
  </si>
  <si>
    <t>Mr. Syed Zamil Hasan Shoumo</t>
  </si>
  <si>
    <t>4J68</t>
  </si>
  <si>
    <t>shoumo.hasan@bracu.ac.bd</t>
  </si>
  <si>
    <t>ZLNM</t>
  </si>
  <si>
    <t>Md. Zulkar Naim</t>
  </si>
  <si>
    <t>4M111</t>
  </si>
  <si>
    <t>zulkar.naim@bracu.ac.bd</t>
  </si>
  <si>
    <t>ZMD</t>
  </si>
  <si>
    <t>Mr. Zaber Mohammad</t>
  </si>
  <si>
    <t>4J61</t>
  </si>
  <si>
    <t>zaber.mohammad@bracu.ac.bd</t>
  </si>
  <si>
    <t>ZYH</t>
  </si>
  <si>
    <t>Zayed Humayun</t>
  </si>
  <si>
    <t>4N156</t>
  </si>
  <si>
    <t>zayed.humayun@bracu.ac.bd</t>
  </si>
  <si>
    <t>AAF</t>
  </si>
  <si>
    <t>Anika Afrin</t>
  </si>
  <si>
    <t>C. Lecturer</t>
  </si>
  <si>
    <t>Contractual</t>
  </si>
  <si>
    <t>4P</t>
  </si>
  <si>
    <t>ext.anika.afrin@bracu.ac.bd</t>
  </si>
  <si>
    <t>AASA</t>
  </si>
  <si>
    <t>Abrar Al Shadid Abir</t>
  </si>
  <si>
    <t>ext.abrar.abir@bracu.ac.bd</t>
  </si>
  <si>
    <t>ADD</t>
  </si>
  <si>
    <t>Ayesha Siddika</t>
  </si>
  <si>
    <t>ext.ayesha.siddika@bracu.ac.bd</t>
  </si>
  <si>
    <t>ADR</t>
  </si>
  <si>
    <t>Mr. Md. Abdur Rahman</t>
  </si>
  <si>
    <t>C. Senior Lecturer</t>
  </si>
  <si>
    <t>abdur.rahman@bracu.ac.bd</t>
  </si>
  <si>
    <t>AHA</t>
  </si>
  <si>
    <t>Abid Hossain Ashik</t>
  </si>
  <si>
    <t>ext.abid.ashik@bracu.ac.bd</t>
  </si>
  <si>
    <t>AHC</t>
  </si>
  <si>
    <t>Asif Hasan Chowdhury</t>
  </si>
  <si>
    <t>ext.asif.hasan@bracu.ac.bd</t>
  </si>
  <si>
    <t>AJK</t>
  </si>
  <si>
    <t>Ahmed Akib Jawad Karim</t>
  </si>
  <si>
    <t>ext.akib.jawad@bracu.ac.bd</t>
  </si>
  <si>
    <t>AKDB</t>
  </si>
  <si>
    <t>Angkon Deb</t>
  </si>
  <si>
    <t>ext.angkon.deb@bracu.ac.bd</t>
  </si>
  <si>
    <t>AKDR</t>
  </si>
  <si>
    <t>Abdullah Khondoker</t>
  </si>
  <si>
    <t>ext.abdullah@bracu.ac.bd</t>
  </si>
  <si>
    <t>ALB</t>
  </si>
  <si>
    <t>Anindita Labonno</t>
  </si>
  <si>
    <t>ext.anindita.labonno@bracu.ac.bd</t>
  </si>
  <si>
    <t>ALSM</t>
  </si>
  <si>
    <t>Aliva Sadnim Mahmud</t>
  </si>
  <si>
    <t>ext.aliva.sadnim@bracu.ac.bd</t>
  </si>
  <si>
    <t>ANKH</t>
  </si>
  <si>
    <t>Anika Ahmed</t>
  </si>
  <si>
    <t>ext.anika.ahmed@bracu.ac.bd</t>
  </si>
  <si>
    <t>ANNH</t>
  </si>
  <si>
    <t>Aunon Halder</t>
  </si>
  <si>
    <t>ext.aunon.halder@bracu.ac.bd</t>
  </si>
  <si>
    <t>ANT</t>
  </si>
  <si>
    <t>Anika Tasnim</t>
  </si>
  <si>
    <t>ext.anika.tasnim@bracu.ac.bd</t>
  </si>
  <si>
    <t>ANV</t>
  </si>
  <si>
    <t>Md. Anonto Shuvo</t>
  </si>
  <si>
    <t>ext.anonto.shuvo@bracu.ac.bd</t>
  </si>
  <si>
    <t>AOH</t>
  </si>
  <si>
    <t>Abu Obaida Hasme</t>
  </si>
  <si>
    <t>ext.abu.hasme@bracu.ac.bd</t>
  </si>
  <si>
    <t>AQJ</t>
  </si>
  <si>
    <t>Ashiqur Jubaier</t>
  </si>
  <si>
    <t>ext.ashiqur.jubaier@bracu.ac.bd</t>
  </si>
  <si>
    <t>ARA</t>
  </si>
  <si>
    <t>Md Ashikur Rahman Any</t>
  </si>
  <si>
    <t>ext.rahman.ashikur@bracu.ac.bd</t>
  </si>
  <si>
    <t>AROY</t>
  </si>
  <si>
    <t>Atonu Roy Chowdhury</t>
  </si>
  <si>
    <t>ext.atonu.roy@bracu.ac.bd</t>
  </si>
  <si>
    <t>ARPD</t>
  </si>
  <si>
    <t>Arpa Roy Dastider</t>
  </si>
  <si>
    <t>ext.arpa.roy@bracu.ac.bd</t>
  </si>
  <si>
    <t>ASMN</t>
  </si>
  <si>
    <t>A S M Nasim Khan</t>
  </si>
  <si>
    <t>ext.nasim.khan@bracu.ac.bd</t>
  </si>
  <si>
    <t>AWK</t>
  </si>
  <si>
    <t>Mirza Azwad Wakil</t>
  </si>
  <si>
    <t>ext.azwad.wakil@bracu.ac.bd</t>
  </si>
  <si>
    <t>CABS</t>
  </si>
  <si>
    <t>Aabrar Islam</t>
  </si>
  <si>
    <t>ext.aabrar.islam@bracu.ac.bd</t>
  </si>
  <si>
    <t>CABT</t>
  </si>
  <si>
    <t>Adiba Tahsin</t>
  </si>
  <si>
    <t>ext.adiba.tahsin@bracu.ac.bd</t>
  </si>
  <si>
    <t>CADM</t>
  </si>
  <si>
    <t>Adiba Amreen Alam</t>
  </si>
  <si>
    <t>ext.adiba.amreen@bracu.ac.bd</t>
  </si>
  <si>
    <t>CAIJ</t>
  </si>
  <si>
    <t>Aniqa Ibnat Jisa</t>
  </si>
  <si>
    <t>ext.aniqa.jisa@bracu.ac.bd</t>
  </si>
  <si>
    <t>CAKB</t>
  </si>
  <si>
    <t>Md Aminul Kader Bulbul</t>
  </si>
  <si>
    <t>ext.aminul.bulbul@bracu.ac.bd</t>
  </si>
  <si>
    <t>CAKM</t>
  </si>
  <si>
    <t>ANIKA ISLAM</t>
  </si>
  <si>
    <t>ext.anika.islam@bracu.ac.bd</t>
  </si>
  <si>
    <t>CAPN</t>
  </si>
  <si>
    <t>Argha Protim Angon</t>
  </si>
  <si>
    <t>ext.argha.angon@bracu.ac.bd</t>
  </si>
  <si>
    <t>CARN</t>
  </si>
  <si>
    <t>Arian Nuhan</t>
  </si>
  <si>
    <t>ext.arian.nuhan@bracu.ac.bd</t>
  </si>
  <si>
    <t>CAST</t>
  </si>
  <si>
    <t>Dr. Ashis Talukder</t>
  </si>
  <si>
    <t>C. Associate Professor</t>
  </si>
  <si>
    <t>4G15</t>
  </si>
  <si>
    <t>ext.ashis.talukder@bracu.ac.bd</t>
  </si>
  <si>
    <t>CAYR</t>
  </si>
  <si>
    <t>Ayon Roy</t>
  </si>
  <si>
    <t>ext.ayon.roy@bracu.ac.bd</t>
  </si>
  <si>
    <t>CEAS</t>
  </si>
  <si>
    <t>Eshtiak Alam Shihab</t>
  </si>
  <si>
    <t>ext.eshtiak.shihab@bracu.ac.bd</t>
  </si>
  <si>
    <t>CESF</t>
  </si>
  <si>
    <t>Eshat Fareeha</t>
  </si>
  <si>
    <t>ext.eshat.fareeha@bracu.ac.bd</t>
  </si>
  <si>
    <t>CKMH</t>
  </si>
  <si>
    <t>Khondokar Mohammad Ahanaf Hannan</t>
  </si>
  <si>
    <t>ext.ahanaf.hannan@bracu.ac.bd</t>
  </si>
  <si>
    <t>CMHH</t>
  </si>
  <si>
    <t>Maheer Helal</t>
  </si>
  <si>
    <t>ext.maheer.helal@bracu.ac.bd</t>
  </si>
  <si>
    <t>CMHQ</t>
  </si>
  <si>
    <t>Moinul Haque</t>
  </si>
  <si>
    <t>ext.moinul.haque@bracu.ac.bd</t>
  </si>
  <si>
    <t>CMIB</t>
  </si>
  <si>
    <t>Mahadi Ibne Bakar</t>
  </si>
  <si>
    <t>ext.mahadi.ibnebakar@bracu.ac.bd</t>
  </si>
  <si>
    <t>CMNB</t>
  </si>
  <si>
    <t>Mondrita Biswas</t>
  </si>
  <si>
    <t>ext.mondrita.biswas@bracu.ac.bd</t>
  </si>
  <si>
    <t>CMZH</t>
  </si>
  <si>
    <t>MD MAZED HOSSAIN</t>
  </si>
  <si>
    <t>ext.mazed.hossain@bracu.ac.bd</t>
  </si>
  <si>
    <t>CNFH</t>
  </si>
  <si>
    <t>Nafis Chowdhury</t>
  </si>
  <si>
    <t>ext.nafis.chowdhury@bracu.ac.bd</t>
  </si>
  <si>
    <t>CNKY</t>
  </si>
  <si>
    <t>Nafisa Khan Youkee</t>
  </si>
  <si>
    <t>ext.nafisa.youkee@bracu.ac.bd</t>
  </si>
  <si>
    <t>CPTH</t>
  </si>
  <si>
    <t>Purba Tahia Hassan</t>
  </si>
  <si>
    <t>ext.purba.hassan@bracu.ac.bd</t>
  </si>
  <si>
    <t>CQAE</t>
  </si>
  <si>
    <t>Qurratul Ayen Elma</t>
  </si>
  <si>
    <t>ext.qurratul.elma@bracu.ac.bd</t>
  </si>
  <si>
    <t>CRHB</t>
  </si>
  <si>
    <t>Ruhan Habib</t>
  </si>
  <si>
    <t>ext.ruhan.habib@bracu.ac.bd</t>
  </si>
  <si>
    <t>CSAB</t>
  </si>
  <si>
    <t>Shreya Adrita Banik</t>
  </si>
  <si>
    <t>ext.shreya.banik@bracu.ac.bd</t>
  </si>
  <si>
    <t>CSSA</t>
  </si>
  <si>
    <t>Sadman Sakib Alif</t>
  </si>
  <si>
    <t>ext.sadman.alif@bracu.ac.bd</t>
  </si>
  <si>
    <t>CSSN</t>
  </si>
  <si>
    <t>Md Shamsur Shafi Nur E Aziz</t>
  </si>
  <si>
    <t>ext.shamsur.aziz@bracu.ac.bd</t>
  </si>
  <si>
    <t>CSYR</t>
  </si>
  <si>
    <t>Sayeedur Rahman</t>
  </si>
  <si>
    <t>ext.sayeedur.rahman@bracu.ac.bd</t>
  </si>
  <si>
    <t>CTRK</t>
  </si>
  <si>
    <t>Tawhidur Rahman Khan</t>
  </si>
  <si>
    <t>ext.tawhidur.khan@bracu.ac.bd</t>
  </si>
  <si>
    <t>CZRZ</t>
  </si>
  <si>
    <t>Zabir Ramiz</t>
  </si>
  <si>
    <t>ext.zabir.ramiz@bracu.ac.bd</t>
  </si>
  <si>
    <t>DBY</t>
  </si>
  <si>
    <t>Deboky Saha</t>
  </si>
  <si>
    <t>ext.deboky.saha@bracu.ac.bd</t>
  </si>
  <si>
    <t>DPRN</t>
  </si>
  <si>
    <t>Dipika Rani Nath</t>
  </si>
  <si>
    <t>ext.dipika.rani@bracu.ac.bd</t>
  </si>
  <si>
    <t>FDM</t>
  </si>
  <si>
    <t>Md Fardin Rahman Ami</t>
  </si>
  <si>
    <t>ext.fardin.rahman@bracu.ac.bd</t>
  </si>
  <si>
    <t>FDZ</t>
  </si>
  <si>
    <t>Fardin Zaman</t>
  </si>
  <si>
    <t>ext.fardin.zaman@bracu.ac.bd</t>
  </si>
  <si>
    <t>FFU</t>
  </si>
  <si>
    <t>Farhan Faruk</t>
  </si>
  <si>
    <t>ext.farhan.faruk@bracu.ac.bd</t>
  </si>
  <si>
    <t>FMK</t>
  </si>
  <si>
    <t>Md. Saif Mokarrom</t>
  </si>
  <si>
    <t>ext.md.saif.mokarrom@bracu.ac.bd</t>
  </si>
  <si>
    <t>FUL</t>
  </si>
  <si>
    <t>M. Shafiul Alam</t>
  </si>
  <si>
    <t>ext.shafiul.alam@bracu.ac.bd</t>
  </si>
  <si>
    <t>HAS</t>
  </si>
  <si>
    <t>Md. Mahadi Hasan</t>
  </si>
  <si>
    <t>ext.md.mahadi@bracu.ac.bd</t>
  </si>
  <si>
    <t>HBN</t>
  </si>
  <si>
    <t>Hamim Ibne Nasim</t>
  </si>
  <si>
    <t>ext.hamim.nasim@bracu.ac.bd</t>
  </si>
  <si>
    <t>IRZ</t>
  </si>
  <si>
    <t>Md. Irtiza Hossain</t>
  </si>
  <si>
    <t>ext.irtiza.hossain@bracu.ac.bd</t>
  </si>
  <si>
    <t>JNM</t>
  </si>
  <si>
    <t>Dr. Jannatun Noor Mukta</t>
  </si>
  <si>
    <t>jannatun.noor@bracu.ac.bd</t>
  </si>
  <si>
    <t>KBS</t>
  </si>
  <si>
    <t>Kefaya Benta Shahnoor</t>
  </si>
  <si>
    <t>ext.kefaya.shahnoor@bracu.ac.bd</t>
  </si>
  <si>
    <t>KSJ</t>
  </si>
  <si>
    <t>Kaji Sajjad Hossain</t>
  </si>
  <si>
    <t>ext.sajjad.hossain@bracu.ac.bd</t>
  </si>
  <si>
    <t>LMI</t>
  </si>
  <si>
    <t>Lamiah Israt</t>
  </si>
  <si>
    <t>lamiah.israt@bracu.ac.bd</t>
  </si>
  <si>
    <t>MAF</t>
  </si>
  <si>
    <t>MD ASIF</t>
  </si>
  <si>
    <t>ext.md.asif@bracu.ac.bd</t>
  </si>
  <si>
    <t>MAO</t>
  </si>
  <si>
    <t>Mirza Abdullah Al Noman</t>
  </si>
  <si>
    <t>ext.mirza.abdullah@bracu.ac.bd</t>
  </si>
  <si>
    <t>MCW</t>
  </si>
  <si>
    <t>Mahjabin Chowdhury</t>
  </si>
  <si>
    <t>ext.mahjabin@bracu.ac.bd</t>
  </si>
  <si>
    <t>MHM</t>
  </si>
  <si>
    <t>Maharin Mosfakin</t>
  </si>
  <si>
    <t>ext.maharin.mosfakin@bracu.ac.bd</t>
  </si>
  <si>
    <t>MHY</t>
  </si>
  <si>
    <t>Abu Musa Al Ashary</t>
  </si>
  <si>
    <t>ext.abu.musa@bracu.ac.bd</t>
  </si>
  <si>
    <t>MKY</t>
  </si>
  <si>
    <t>Shahriar Hasan Mickey</t>
  </si>
  <si>
    <t>TA/RA Room</t>
  </si>
  <si>
    <t>ext.shahriar.mickey@bracu.ac.bd</t>
  </si>
  <si>
    <t>MLH</t>
  </si>
  <si>
    <t>Monirul haque</t>
  </si>
  <si>
    <t>ext.monirul.haque@bracu.ac.bd</t>
  </si>
  <si>
    <t>MOZR</t>
  </si>
  <si>
    <t>Mr. Monzur Murshed Muhammad</t>
  </si>
  <si>
    <t>ext.monzur.murshed@bracu.ac.bd</t>
  </si>
  <si>
    <t>MRSO</t>
  </si>
  <si>
    <t>Masuk Ridwan Saumo</t>
  </si>
  <si>
    <t>ext.masuk.saumo@bracu.ac.bd</t>
  </si>
  <si>
    <t>MSB</t>
  </si>
  <si>
    <t>Dr. Md Shamsuzzoha Bayzid</t>
  </si>
  <si>
    <t>C. Professor</t>
  </si>
  <si>
    <t>ext.shams.bayzid@bracu.ac.bd</t>
  </si>
  <si>
    <t>MTOT</t>
  </si>
  <si>
    <t>Md Toky Tazwar</t>
  </si>
  <si>
    <t>ext.toky.tazwar@bracu.ac.bd</t>
  </si>
  <si>
    <t>MTU</t>
  </si>
  <si>
    <t>Md. Muhtasim Mahmuud</t>
  </si>
  <si>
    <t>ext.muhtasim.mahmud@bracu.ac.bd</t>
  </si>
  <si>
    <t>MZFZ</t>
  </si>
  <si>
    <t>Mehnaz Ara Fazal</t>
  </si>
  <si>
    <t>ext.mehnaz.fazal@bracu.ac.bd</t>
  </si>
  <si>
    <t>MZG</t>
  </si>
  <si>
    <t>Ahmed Mayeesha Reza Agomoni</t>
  </si>
  <si>
    <t>ext.ahmed.mayeesha@bracu.ac.bd</t>
  </si>
  <si>
    <t>MZW</t>
  </si>
  <si>
    <t>Maazin Munawar</t>
  </si>
  <si>
    <t>ext.maazin.munawar@bracu.ac.bd</t>
  </si>
  <si>
    <t>NFF</t>
  </si>
  <si>
    <t>Nafiz Imtiaz Rafin</t>
  </si>
  <si>
    <t>ext.nafiz.rafin@bracu.ac.bd</t>
  </si>
  <si>
    <t>NFS</t>
  </si>
  <si>
    <t>Nafis Faisal</t>
  </si>
  <si>
    <t>ext.nafis.faisal@bracu.ac.bd</t>
  </si>
  <si>
    <t>NLAM</t>
  </si>
  <si>
    <t>Namirul Islam</t>
  </si>
  <si>
    <t>ext.namirul.islam@bracu.ac.bd</t>
  </si>
  <si>
    <t>NMP</t>
  </si>
  <si>
    <t>Namira Mustafiz Pranty</t>
  </si>
  <si>
    <t>ext.namira.pranty@bracu.ac.bd</t>
  </si>
  <si>
    <t>NQM</t>
  </si>
  <si>
    <t>Md Nafiz Ishtiaque Mahee</t>
  </si>
  <si>
    <t>ext.nafiz.ishtiaque@bracu.ac.bd</t>
  </si>
  <si>
    <t>NRT</t>
  </si>
  <si>
    <t>Nusrat Zaman Raya</t>
  </si>
  <si>
    <t>ext.nusrat.raya@bracu.ac.bd</t>
  </si>
  <si>
    <t>NTN</t>
  </si>
  <si>
    <t>Naima Tahsin Nodi</t>
  </si>
  <si>
    <t>ext.naima.tahsin@bracu.ac.bd</t>
  </si>
  <si>
    <t>NUR</t>
  </si>
  <si>
    <t>Nur Mohammad Shaon</t>
  </si>
  <si>
    <t>ext.nur.shaon@bracu.ac.bd</t>
  </si>
  <si>
    <t>NWT</t>
  </si>
  <si>
    <t>Nowshin Tabassum</t>
  </si>
  <si>
    <t>ext.nowshin.tabassum@bracu.ac.bd</t>
  </si>
  <si>
    <t>PLN</t>
  </si>
  <si>
    <t>Pollock Nag</t>
  </si>
  <si>
    <t>ext.pollock.nag@bracu.ac.bd</t>
  </si>
  <si>
    <t>PML</t>
  </si>
  <si>
    <t>MD Rifat Alam Pomil</t>
  </si>
  <si>
    <t>ext.rifat.pomil@bracu.ac.bd</t>
  </si>
  <si>
    <t>PRC</t>
  </si>
  <si>
    <t>Pratick Roy Chowdhuruy</t>
  </si>
  <si>
    <t>ext.pratick.roy@bracu.ac.bd</t>
  </si>
  <si>
    <t>RAO</t>
  </si>
  <si>
    <t>Mohammed Radoan</t>
  </si>
  <si>
    <t>ext.mohammed.radoan@bracu.ac.bd</t>
  </si>
  <si>
    <t>RDS</t>
  </si>
  <si>
    <t>Rantu Das</t>
  </si>
  <si>
    <t>ext.rantu.das@bracu.ac.bd</t>
  </si>
  <si>
    <t>RFQ</t>
  </si>
  <si>
    <t>Md. Rafatul Haq</t>
  </si>
  <si>
    <t>ext.rafatul.haq@bracu.ac.bd</t>
  </si>
  <si>
    <t>RSYR</t>
  </si>
  <si>
    <t>Dr. Rifat Shahriyar</t>
  </si>
  <si>
    <t>ext.rifat.shahriyar@bracu.ac.bd</t>
  </si>
  <si>
    <t>RTI</t>
  </si>
  <si>
    <t>Rifah Tasmiah Islam</t>
  </si>
  <si>
    <t>ext.rifah.tasmiah@bracu.ac.bd</t>
  </si>
  <si>
    <t>RZR</t>
  </si>
  <si>
    <t>Riazul Islam Rifat</t>
  </si>
  <si>
    <t>ext.riazul.islam@bracu.ac.bd</t>
  </si>
  <si>
    <t>SAS</t>
  </si>
  <si>
    <t>Dr. Md. Shafiul Alam Shuvo</t>
  </si>
  <si>
    <t>ext.shafiul.shuvo@bracu.ac.bd</t>
  </si>
  <si>
    <t>SDTS</t>
  </si>
  <si>
    <t>Sanjida Tasnim</t>
  </si>
  <si>
    <t>ext.sanjida.tasnim@bracu.ac.bd</t>
  </si>
  <si>
    <t>SEF</t>
  </si>
  <si>
    <t>Sheikh Iftekhar Ahmed</t>
  </si>
  <si>
    <t>ext.sheikh.ahmed@bracu.ac.bd</t>
  </si>
  <si>
    <t>SHJR</t>
  </si>
  <si>
    <t>Shourov Joarder</t>
  </si>
  <si>
    <t>ext.shourov.joarder@bracu.ac.bd</t>
  </si>
  <si>
    <t>SJM</t>
  </si>
  <si>
    <t>Sajid Imam Mahir</t>
  </si>
  <si>
    <t>ext.sajid.mahir@bracu.ac.bd</t>
  </si>
  <si>
    <t>SLAR</t>
  </si>
  <si>
    <t>Sadiul Arefin Rafi</t>
  </si>
  <si>
    <t>ext.sadiul.rafi@bracu.ac.bd</t>
  </si>
  <si>
    <t>SMDS</t>
  </si>
  <si>
    <t>Soumitra Das</t>
  </si>
  <si>
    <t>ext.soumitra.das@bracu.ac.bd</t>
  </si>
  <si>
    <t>SMKD</t>
  </si>
  <si>
    <t>Sheikh Samiul Kadir</t>
  </si>
  <si>
    <t>ext.samiul.kadir@bracu.ac.bd</t>
  </si>
  <si>
    <t>SSMT</t>
  </si>
  <si>
    <t>Syeda Sumaiya Tasneem</t>
  </si>
  <si>
    <t>ext.sumaiya.tasneem@bracu.ac.bd</t>
  </si>
  <si>
    <t>SUI</t>
  </si>
  <si>
    <t>Sumaiya</t>
  </si>
  <si>
    <t>ext.sumaiya@bracu.ac.bd</t>
  </si>
  <si>
    <t>THR</t>
  </si>
  <si>
    <t>Tahsin Tanim Ramisha</t>
  </si>
  <si>
    <t>ext.tahsin.ramisha@bracu.ac.bd</t>
  </si>
  <si>
    <t>TJH</t>
  </si>
  <si>
    <t>TASNIA JUHA</t>
  </si>
  <si>
    <t>ext.tasnia.juha@bracu.ac.bd</t>
  </si>
  <si>
    <t>TJW</t>
  </si>
  <si>
    <t>Sk. Atik Tajwar Sihan</t>
  </si>
  <si>
    <t>ext.atik.tajwar@bracu.ac.bd</t>
  </si>
  <si>
    <t>TNZ</t>
  </si>
  <si>
    <t>Tanjim Reza</t>
  </si>
  <si>
    <t>ext.tanjim.reza@bracu.ac.bd</t>
  </si>
  <si>
    <t>TTTA</t>
  </si>
  <si>
    <t>Tanshia Tahreen Tanisha</t>
  </si>
  <si>
    <t>ext.tanshia.tahreen@bracu.ac.bd</t>
  </si>
  <si>
    <t>UMS</t>
  </si>
  <si>
    <t>Umaiya Ahmed Maisha</t>
  </si>
  <si>
    <t>ext.umaiya.maisha@bracu.ac.bd</t>
  </si>
  <si>
    <t>WBH</t>
  </si>
  <si>
    <t>Waleed Bin Habib Khan</t>
  </si>
  <si>
    <t>ext.waleed.bin@bracu.ac.bd</t>
  </si>
  <si>
    <t>WLV</t>
  </si>
  <si>
    <t>Md.Waseq Alauddin Alvi</t>
  </si>
  <si>
    <t>ext.waseq.alvi@bracu.ac.bd</t>
  </si>
  <si>
    <t>ZBH</t>
  </si>
  <si>
    <t>Md. Zayed Bin Zahir Arju</t>
  </si>
  <si>
    <t>ext.zayed.zahir@bracu.ac.bd</t>
  </si>
  <si>
    <t>ZIZE</t>
  </si>
  <si>
    <t>Zahin Iqbal Zeal</t>
  </si>
  <si>
    <t>ext.zahin.ikbal@bracu.ac.bd</t>
  </si>
  <si>
    <t>SL</t>
  </si>
  <si>
    <t>ID</t>
  </si>
  <si>
    <t>Name</t>
  </si>
  <si>
    <t>A1
Tracing (1)</t>
  </si>
  <si>
    <t>A1
Coding (4)</t>
  </si>
  <si>
    <t>A1
Total (5)</t>
  </si>
  <si>
    <t>Comment</t>
  </si>
  <si>
    <t>A2
Tracing (2)</t>
  </si>
  <si>
    <t>A2
Coding (4)</t>
  </si>
  <si>
    <t>A2
Total (6)</t>
  </si>
  <si>
    <t>A2
Total (5)</t>
  </si>
  <si>
    <t>A3
Tracing (2)</t>
  </si>
  <si>
    <t>A3
Coding (4)</t>
  </si>
  <si>
    <t>A3
Total (5)</t>
  </si>
  <si>
    <t>A4
Tracing (2)</t>
  </si>
  <si>
    <t>A4
Coding (4)</t>
  </si>
  <si>
    <t>A4
Total (5)</t>
  </si>
  <si>
    <t>A5
Coding (4)</t>
  </si>
  <si>
    <t>A5
Tracing (2)</t>
  </si>
  <si>
    <t>A5
Total (5)</t>
  </si>
  <si>
    <t>A6
Tracing (1)</t>
  </si>
  <si>
    <t>A6
Coding (5)</t>
  </si>
  <si>
    <t>A6
Total (5)</t>
  </si>
  <si>
    <t>A7
Tracing (1)</t>
  </si>
  <si>
    <t>A7
Coding (5)</t>
  </si>
  <si>
    <t>A7
Total (5)</t>
  </si>
  <si>
    <t>A8
Tracing (1)</t>
  </si>
  <si>
    <t>A8
Coding (5)</t>
  </si>
  <si>
    <t>A8
Total (5)</t>
  </si>
  <si>
    <t>A9
Tracing (2)</t>
  </si>
  <si>
    <t>A9
Coding (3)</t>
  </si>
  <si>
    <t>A9
Total (5)</t>
  </si>
  <si>
    <t>1000054068</t>
  </si>
  <si>
    <t>Md Atif Aziz</t>
  </si>
  <si>
    <t>Didn't submit Tracing</t>
  </si>
  <si>
    <t>Didn't submit</t>
  </si>
  <si>
    <t>1000054126</t>
  </si>
  <si>
    <t>Md Mumtahin Islam Enan</t>
  </si>
  <si>
    <t>Didn't submit coding</t>
  </si>
  <si>
    <t>1000054169</t>
  </si>
  <si>
    <t>Sharah Mehzabin</t>
  </si>
  <si>
    <t>Didn't submit tracing, coding</t>
  </si>
  <si>
    <t>1000054209</t>
  </si>
  <si>
    <t>Irfan Hossain</t>
  </si>
  <si>
    <t>No trace table</t>
  </si>
  <si>
    <t>1000054685</t>
  </si>
  <si>
    <t>Syed Ahnaf Jawad</t>
  </si>
  <si>
    <t>T4: Constructor</t>
  </si>
  <si>
    <t>T3: Half, T4: Missing</t>
  </si>
  <si>
    <t>1000054829</t>
  </si>
  <si>
    <t>Md Ali Reza Rafi</t>
  </si>
  <si>
    <t>Didn't submit tracing, T4: Missing</t>
  </si>
  <si>
    <t>Loop</t>
  </si>
  <si>
    <t>1000054922</t>
  </si>
  <si>
    <t>Khan Abid Hasan Sakib</t>
  </si>
  <si>
    <t>1000055145</t>
  </si>
  <si>
    <t>Md. Eftekharuzzaman</t>
  </si>
  <si>
    <t>Incorrect Tracing</t>
  </si>
  <si>
    <t>1000055645</t>
  </si>
  <si>
    <t>Arijit Debnath</t>
  </si>
  <si>
    <t>1000055848</t>
  </si>
  <si>
    <t>Ayesha Khan Riham</t>
  </si>
  <si>
    <t>1000056012</t>
  </si>
  <si>
    <t>Shah Mustaghfir Billah Nabil</t>
  </si>
  <si>
    <t>1000056584</t>
  </si>
  <si>
    <t>Arham Kabir</t>
  </si>
  <si>
    <t>T3, T4: Missing</t>
  </si>
  <si>
    <t>T3-T5 Missing</t>
  </si>
  <si>
    <t>1000057482</t>
  </si>
  <si>
    <t>Md. Arafath Hossain</t>
  </si>
  <si>
    <t>T4: Missing</t>
  </si>
  <si>
    <t>T6: Missing</t>
  </si>
  <si>
    <t>1000057501</t>
  </si>
  <si>
    <t>Maudud Hasan Nahian</t>
  </si>
  <si>
    <t>1000057512</t>
  </si>
  <si>
    <t>Jyoti Shrestha Ray</t>
  </si>
  <si>
    <t>Couldn't open the file</t>
  </si>
  <si>
    <t>1000057515</t>
  </si>
  <si>
    <t>Rakayet Sami</t>
  </si>
  <si>
    <t>1000057527</t>
  </si>
  <si>
    <t>Fardin Hassan</t>
  </si>
  <si>
    <t>T3: Incomplete</t>
  </si>
  <si>
    <t>1000057540</t>
  </si>
  <si>
    <t>Quazi Abdullah Al Mahmud Tahsin</t>
  </si>
  <si>
    <t>1000057541</t>
  </si>
  <si>
    <t>Dewan Nazmus Saquib Chowdhury</t>
  </si>
  <si>
    <t xml:space="preserve">T5: Wrong outputs, T6: four wrong outputs. Very messy handwriting. Please improve your handwriting. </t>
  </si>
  <si>
    <t>1000057571</t>
  </si>
  <si>
    <t>Md. Monem Shahriar</t>
  </si>
  <si>
    <t>1000057576</t>
  </si>
  <si>
    <t>Mhutasim Khan</t>
  </si>
  <si>
    <t>T5: Output Missing</t>
  </si>
  <si>
    <t>1000057580</t>
  </si>
  <si>
    <t>Taskia Rashid Anuva</t>
  </si>
  <si>
    <t>1000057632</t>
  </si>
  <si>
    <t>Kahiruddin Kaokab Mahathir (Sec-10)</t>
  </si>
  <si>
    <t>1000057642</t>
  </si>
  <si>
    <t>Md. Ahnaf Zahin</t>
  </si>
  <si>
    <t>Created an unnecessary method in T3</t>
  </si>
  <si>
    <t>1000057748</t>
  </si>
  <si>
    <t>Raiyan Kabir</t>
  </si>
  <si>
    <t>1000057957</t>
  </si>
  <si>
    <t>Samin Nur Chy</t>
  </si>
  <si>
    <t>1000057961</t>
  </si>
  <si>
    <t>Imrul Taher Sarker</t>
  </si>
  <si>
    <t>Submit a valid file from next time</t>
  </si>
  <si>
    <t>1000058024</t>
  </si>
  <si>
    <t>Shanjida Tasnim Tonima</t>
  </si>
  <si>
    <t>Tracing output missing</t>
  </si>
  <si>
    <t>1000058187</t>
  </si>
  <si>
    <t>Bornali Islam Labonna</t>
  </si>
  <si>
    <t>1000058792</t>
  </si>
  <si>
    <t>Tahia Hossain</t>
  </si>
  <si>
    <t>T3: Missing</t>
  </si>
  <si>
    <t>24121331</t>
  </si>
  <si>
    <t>Nafisa Rahman Fewri</t>
  </si>
  <si>
    <t>24201321</t>
  </si>
  <si>
    <t>S M Saiham Soad Khan</t>
  </si>
  <si>
    <t>24201355</t>
  </si>
  <si>
    <t>Jannat Ara Jahan</t>
  </si>
  <si>
    <t>24201415</t>
  </si>
  <si>
    <t>Zareen Sadaf</t>
  </si>
  <si>
    <t>Didn't submit tracing</t>
  </si>
  <si>
    <t>T5: Missing</t>
  </si>
  <si>
    <t>24301317</t>
  </si>
  <si>
    <t>Ashmita Deb Nath</t>
  </si>
  <si>
    <t>T4: Incorrect</t>
  </si>
  <si>
    <t>25121010</t>
  </si>
  <si>
    <t>Tauhid Hassan Farian</t>
  </si>
  <si>
    <t>Didn't submit tracing, T4: Constructor</t>
  </si>
  <si>
    <t>25121020</t>
  </si>
  <si>
    <t>Maruf Ibnee Mijan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</si>
</sst>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"/>
    <numFmt numFmtId="165" formatCode="d&quot; &quot;mmm&quot; &quot;yyyy&quot; &quot;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Lora"/>
    </font>
    <font>
      <b/>
      <sz val="12.0"/>
      <color theme="1"/>
      <name val="Arial"/>
    </font>
    <font/>
    <font>
      <b/>
      <sz val="13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B4D4D8"/>
        <bgColor rgb="FFB4D4D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</fills>
  <borders count="6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1" fillId="0" fontId="3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0" fontId="3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2" fillId="2" fontId="3" numFmtId="0" xfId="0" applyAlignment="1" applyBorder="1" applyFill="1" applyFont="1">
      <alignment horizontal="center" vertical="center"/>
    </xf>
    <xf borderId="9" fillId="3" fontId="5" numFmtId="0" xfId="0" applyAlignment="1" applyBorder="1" applyFill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1" fillId="4" fontId="6" numFmtId="0" xfId="0" applyAlignment="1" applyBorder="1" applyFill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14" fillId="5" fontId="6" numFmtId="0" xfId="0" applyAlignment="1" applyBorder="1" applyFont="1">
      <alignment horizontal="center" shrinkToFit="0" vertical="center" wrapText="1"/>
    </xf>
    <xf borderId="15" fillId="6" fontId="6" numFmtId="0" xfId="0" applyAlignment="1" applyBorder="1" applyFill="1" applyFont="1">
      <alignment horizontal="center" shrinkToFit="0" vertical="center" wrapText="1"/>
    </xf>
    <xf borderId="16" fillId="6" fontId="6" numFmtId="0" xfId="0" applyAlignment="1" applyBorder="1" applyFont="1">
      <alignment horizontal="center" shrinkToFit="0" vertical="center" wrapText="1"/>
    </xf>
    <xf borderId="17" fillId="7" fontId="6" numFmtId="0" xfId="0" applyAlignment="1" applyBorder="1" applyFill="1" applyFont="1">
      <alignment horizontal="center" shrinkToFit="0" vertical="center" wrapText="1"/>
    </xf>
    <xf borderId="15" fillId="7" fontId="6" numFmtId="0" xfId="0" applyAlignment="1" applyBorder="1" applyFont="1">
      <alignment horizontal="center" shrinkToFit="0" vertical="center" wrapText="1"/>
    </xf>
    <xf borderId="18" fillId="7" fontId="6" numFmtId="0" xfId="0" applyAlignment="1" applyBorder="1" applyFont="1">
      <alignment horizontal="center" shrinkToFit="0" vertical="center" wrapText="1"/>
    </xf>
    <xf borderId="14" fillId="7" fontId="6" numFmtId="0" xfId="0" applyAlignment="1" applyBorder="1" applyFont="1">
      <alignment horizontal="center" shrinkToFit="0" vertical="center" wrapText="1"/>
    </xf>
    <xf borderId="14" fillId="8" fontId="6" numFmtId="0" xfId="0" applyAlignment="1" applyBorder="1" applyFill="1" applyFont="1">
      <alignment horizontal="center" shrinkToFit="0" vertical="center" wrapText="1"/>
    </xf>
    <xf borderId="16" fillId="8" fontId="6" numFmtId="0" xfId="0" applyAlignment="1" applyBorder="1" applyFont="1">
      <alignment horizontal="center" shrinkToFit="0" vertical="center" wrapText="1"/>
    </xf>
    <xf borderId="17" fillId="9" fontId="6" numFmtId="0" xfId="0" applyAlignment="1" applyBorder="1" applyFill="1" applyFont="1">
      <alignment horizontal="center" shrinkToFit="0" vertical="center" wrapText="1"/>
    </xf>
    <xf borderId="15" fillId="9" fontId="6" numFmtId="0" xfId="0" applyAlignment="1" applyBorder="1" applyFont="1">
      <alignment horizontal="center" shrinkToFit="0" vertical="center" wrapText="1"/>
    </xf>
    <xf borderId="19" fillId="9" fontId="6" numFmtId="0" xfId="0" applyAlignment="1" applyBorder="1" applyFont="1">
      <alignment horizontal="center" shrinkToFit="0" vertical="center" wrapText="1"/>
    </xf>
    <xf borderId="20" fillId="9" fontId="7" numFmtId="0" xfId="0" applyAlignment="1" applyBorder="1" applyFont="1">
      <alignment horizontal="center" shrinkToFit="0" vertical="center" wrapText="1"/>
    </xf>
    <xf borderId="19" fillId="9" fontId="7" numFmtId="0" xfId="0" applyAlignment="1" applyBorder="1" applyFont="1">
      <alignment horizontal="center" shrinkToFit="0" vertical="center" wrapText="1"/>
    </xf>
    <xf borderId="21" fillId="10" fontId="7" numFmtId="164" xfId="0" applyAlignment="1" applyBorder="1" applyFill="1" applyFont="1" applyNumberFormat="1">
      <alignment horizontal="center" shrinkToFit="0" vertical="center" wrapText="1"/>
    </xf>
    <xf borderId="22" fillId="10" fontId="7" numFmtId="164" xfId="0" applyAlignment="1" applyBorder="1" applyFont="1" applyNumberFormat="1">
      <alignment horizontal="center" shrinkToFit="0" vertical="center" wrapText="1"/>
    </xf>
    <xf borderId="23" fillId="10" fontId="7" numFmtId="164" xfId="0" applyAlignment="1" applyBorder="1" applyFont="1" applyNumberFormat="1">
      <alignment horizontal="center" shrinkToFit="0" vertical="center" wrapText="1"/>
    </xf>
    <xf borderId="10" fillId="11" fontId="8" numFmtId="164" xfId="0" applyAlignment="1" applyBorder="1" applyFill="1" applyFont="1" applyNumberFormat="1">
      <alignment horizontal="center" shrinkToFit="0" vertical="center" wrapText="1"/>
    </xf>
    <xf borderId="10" fillId="12" fontId="8" numFmtId="164" xfId="0" applyAlignment="1" applyBorder="1" applyFill="1" applyFont="1" applyNumberFormat="1">
      <alignment horizontal="center" shrinkToFit="0" vertical="center" wrapText="1"/>
    </xf>
    <xf borderId="24" fillId="12" fontId="8" numFmtId="165" xfId="0" applyAlignment="1" applyBorder="1" applyFont="1" applyNumberFormat="1">
      <alignment horizontal="center" shrinkToFit="0" vertical="center" wrapText="1"/>
    </xf>
    <xf borderId="25" fillId="13" fontId="8" numFmtId="165" xfId="0" applyAlignment="1" applyBorder="1" applyFill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11" fillId="5" fontId="6" numFmtId="164" xfId="0" applyAlignment="1" applyBorder="1" applyFont="1" applyNumberFormat="1">
      <alignment horizontal="center" shrinkToFit="0" vertical="center" wrapText="0"/>
    </xf>
    <xf borderId="31" fillId="5" fontId="6" numFmtId="164" xfId="0" applyAlignment="1" applyBorder="1" applyFont="1" applyNumberFormat="1">
      <alignment horizontal="center" shrinkToFit="0" vertical="center" wrapText="0"/>
    </xf>
    <xf borderId="32" fillId="6" fontId="6" numFmtId="164" xfId="0" applyAlignment="1" applyBorder="1" applyFont="1" applyNumberFormat="1">
      <alignment horizontal="center" shrinkToFit="0" vertical="center" wrapText="0"/>
    </xf>
    <xf borderId="33" fillId="6" fontId="6" numFmtId="164" xfId="0" applyAlignment="1" applyBorder="1" applyFont="1" applyNumberFormat="1">
      <alignment horizontal="center" shrinkToFit="0" vertical="center" wrapText="0"/>
    </xf>
    <xf borderId="32" fillId="7" fontId="6" numFmtId="164" xfId="0" applyAlignment="1" applyBorder="1" applyFont="1" applyNumberFormat="1">
      <alignment horizontal="center" shrinkToFit="0" vertical="center" wrapText="0"/>
    </xf>
    <xf borderId="0" fillId="7" fontId="6" numFmtId="164" xfId="0" applyAlignment="1" applyFont="1" applyNumberFormat="1">
      <alignment horizontal="center" shrinkToFit="0" vertical="center" wrapText="0"/>
    </xf>
    <xf borderId="34" fillId="7" fontId="6" numFmtId="164" xfId="0" applyAlignment="1" applyBorder="1" applyFont="1" applyNumberFormat="1">
      <alignment horizontal="center" shrinkToFit="0" vertical="center" wrapText="0"/>
    </xf>
    <xf borderId="33" fillId="7" fontId="6" numFmtId="164" xfId="0" applyAlignment="1" applyBorder="1" applyFont="1" applyNumberFormat="1">
      <alignment horizontal="center" shrinkToFit="0" vertical="center" wrapText="0"/>
    </xf>
    <xf borderId="31" fillId="8" fontId="6" numFmtId="164" xfId="0" applyAlignment="1" applyBorder="1" applyFont="1" applyNumberFormat="1">
      <alignment horizontal="center" shrinkToFit="0" vertical="center" wrapText="0"/>
    </xf>
    <xf borderId="11" fillId="8" fontId="6" numFmtId="164" xfId="0" applyAlignment="1" applyBorder="1" applyFont="1" applyNumberFormat="1">
      <alignment horizontal="center" shrinkToFit="0" vertical="center" wrapText="0"/>
    </xf>
    <xf borderId="33" fillId="8" fontId="6" numFmtId="164" xfId="0" applyAlignment="1" applyBorder="1" applyFont="1" applyNumberFormat="1">
      <alignment horizontal="center" shrinkToFit="0" vertical="center" wrapText="0"/>
    </xf>
    <xf borderId="32" fillId="9" fontId="6" numFmtId="164" xfId="0" applyAlignment="1" applyBorder="1" applyFont="1" applyNumberFormat="1">
      <alignment horizontal="center" shrinkToFit="0" vertical="center" wrapText="0"/>
    </xf>
    <xf borderId="35" fillId="9" fontId="6" numFmtId="164" xfId="0" applyAlignment="1" applyBorder="1" applyFont="1" applyNumberFormat="1">
      <alignment horizontal="center" shrinkToFit="0" vertical="center" wrapText="0"/>
    </xf>
    <xf borderId="36" fillId="9" fontId="6" numFmtId="164" xfId="0" applyAlignment="1" applyBorder="1" applyFont="1" applyNumberFormat="1">
      <alignment horizontal="center" shrinkToFit="0" vertical="center" wrapText="0"/>
    </xf>
    <xf borderId="37" fillId="9" fontId="7" numFmtId="0" xfId="0" applyAlignment="1" applyBorder="1" applyFont="1">
      <alignment horizontal="center" shrinkToFit="0" vertical="center" wrapText="1"/>
    </xf>
    <xf borderId="36" fillId="9" fontId="7" numFmtId="0" xfId="0" applyAlignment="1" applyBorder="1" applyFont="1">
      <alignment horizontal="center" shrinkToFit="0" vertical="center" wrapText="1"/>
    </xf>
    <xf borderId="38" fillId="10" fontId="6" numFmtId="164" xfId="0" applyAlignment="1" applyBorder="1" applyFont="1" applyNumberFormat="1">
      <alignment horizontal="center" vertical="center"/>
    </xf>
    <xf borderId="39" fillId="10" fontId="6" numFmtId="164" xfId="0" applyAlignment="1" applyBorder="1" applyFont="1" applyNumberFormat="1">
      <alignment horizontal="center" vertical="center"/>
    </xf>
    <xf borderId="37" fillId="10" fontId="6" numFmtId="164" xfId="0" applyAlignment="1" applyBorder="1" applyFont="1" applyNumberFormat="1">
      <alignment horizontal="center" vertical="center"/>
    </xf>
    <xf borderId="40" fillId="10" fontId="6" numFmtId="164" xfId="0" applyAlignment="1" applyBorder="1" applyFont="1" applyNumberFormat="1">
      <alignment horizontal="center" vertical="center"/>
    </xf>
    <xf borderId="41" fillId="11" fontId="6" numFmtId="49" xfId="0" applyAlignment="1" applyBorder="1" applyFont="1" applyNumberFormat="1">
      <alignment horizontal="center" vertical="center"/>
    </xf>
    <xf borderId="41" fillId="12" fontId="6" numFmtId="49" xfId="0" applyAlignment="1" applyBorder="1" applyFont="1" applyNumberFormat="1">
      <alignment horizontal="center" vertical="center"/>
    </xf>
    <xf borderId="26" fillId="12" fontId="3" numFmtId="49" xfId="0" applyAlignment="1" applyBorder="1" applyFont="1" applyNumberFormat="1">
      <alignment horizontal="center" shrinkToFit="0" vertical="center" wrapText="1"/>
    </xf>
    <xf borderId="32" fillId="13" fontId="3" numFmtId="49" xfId="0" applyAlignment="1" applyBorder="1" applyFont="1" applyNumberFormat="1">
      <alignment horizontal="center" shrinkToFit="0" vertical="center" wrapText="1"/>
    </xf>
    <xf borderId="2" fillId="11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8" fillId="0" fontId="9" numFmtId="0" xfId="0" applyAlignment="1" applyBorder="1" applyFont="1">
      <alignment horizontal="center" vertical="center"/>
    </xf>
    <xf borderId="18" fillId="0" fontId="9" numFmtId="0" xfId="0" applyAlignment="1" applyBorder="1" applyFont="1">
      <alignment horizontal="left" vertical="center"/>
    </xf>
    <xf borderId="42" fillId="0" fontId="9" numFmtId="0" xfId="0" applyAlignment="1" applyBorder="1" applyFont="1">
      <alignment horizontal="left" vertical="center"/>
    </xf>
    <xf borderId="43" fillId="0" fontId="9" numFmtId="0" xfId="0" applyAlignment="1" applyBorder="1" applyFont="1">
      <alignment horizontal="center" vertical="center"/>
    </xf>
    <xf borderId="44" fillId="0" fontId="9" numFmtId="0" xfId="0" applyAlignment="1" applyBorder="1" applyFont="1">
      <alignment horizontal="center" vertical="center"/>
    </xf>
    <xf borderId="45" fillId="0" fontId="9" numFmtId="0" xfId="0" applyAlignment="1" applyBorder="1" applyFont="1">
      <alignment horizontal="center" vertical="center"/>
    </xf>
    <xf borderId="46" fillId="0" fontId="9" numFmtId="0" xfId="0" applyAlignment="1" applyBorder="1" applyFont="1">
      <alignment horizontal="center" vertical="center"/>
    </xf>
    <xf borderId="47" fillId="0" fontId="9" numFmtId="0" xfId="0" applyAlignment="1" applyBorder="1" applyFont="1">
      <alignment horizontal="center" vertical="center"/>
    </xf>
    <xf borderId="48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center" vertical="center"/>
    </xf>
    <xf borderId="49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50" fillId="0" fontId="9" numFmtId="49" xfId="0" applyAlignment="1" applyBorder="1" applyFont="1" applyNumberFormat="1">
      <alignment horizontal="center" vertical="center"/>
    </xf>
    <xf borderId="51" fillId="0" fontId="9" numFmtId="0" xfId="0" applyAlignment="1" applyBorder="1" applyFont="1">
      <alignment horizontal="center"/>
    </xf>
    <xf borderId="52" fillId="0" fontId="9" numFmtId="0" xfId="0" applyAlignment="1" applyBorder="1" applyFont="1">
      <alignment horizontal="center" vertical="center"/>
    </xf>
    <xf borderId="53" fillId="0" fontId="9" numFmtId="0" xfId="0" applyAlignment="1" applyBorder="1" applyFont="1">
      <alignment horizontal="center" vertical="center"/>
    </xf>
    <xf borderId="54" fillId="0" fontId="9" numFmtId="0" xfId="0" applyAlignment="1" applyBorder="1" applyFont="1">
      <alignment horizontal="center" vertical="center"/>
    </xf>
    <xf borderId="55" fillId="0" fontId="9" numFmtId="0" xfId="0" applyAlignment="1" applyBorder="1" applyFont="1">
      <alignment horizontal="center" vertical="center"/>
    </xf>
    <xf borderId="42" fillId="0" fontId="9" numFmtId="0" xfId="0" applyAlignment="1" applyBorder="1" applyFont="1">
      <alignment horizontal="center" vertical="center"/>
    </xf>
    <xf borderId="56" fillId="0" fontId="9" numFmtId="0" xfId="0" applyAlignment="1" applyBorder="1" applyFont="1">
      <alignment horizontal="center" vertical="center"/>
    </xf>
    <xf borderId="57" fillId="0" fontId="9" numFmtId="0" xfId="0" applyAlignment="1" applyBorder="1" applyFont="1">
      <alignment horizontal="center" vertical="center"/>
    </xf>
    <xf borderId="58" fillId="0" fontId="9" numFmtId="49" xfId="0" applyAlignment="1" applyBorder="1" applyFont="1" applyNumberFormat="1">
      <alignment horizontal="center" vertical="center"/>
    </xf>
    <xf borderId="18" fillId="0" fontId="9" numFmtId="0" xfId="0" applyAlignment="1" applyBorder="1" applyFont="1">
      <alignment horizontal="center" readingOrder="0" vertical="center"/>
    </xf>
    <xf borderId="18" fillId="11" fontId="9" numFmtId="0" xfId="0" applyAlignment="1" applyBorder="1" applyFont="1">
      <alignment horizontal="center" vertical="center"/>
    </xf>
    <xf borderId="18" fillId="11" fontId="9" numFmtId="0" xfId="0" applyAlignment="1" applyBorder="1" applyFont="1">
      <alignment horizontal="left" vertical="center"/>
    </xf>
    <xf borderId="42" fillId="0" fontId="9" numFmtId="0" xfId="0" applyAlignment="1" applyBorder="1" applyFont="1">
      <alignment horizontal="center" readingOrder="0" vertical="center"/>
    </xf>
    <xf borderId="59" fillId="0" fontId="9" numFmtId="0" xfId="0" applyAlignment="1" applyBorder="1" applyFont="1">
      <alignment horizontal="center" vertical="center"/>
    </xf>
    <xf borderId="60" fillId="0" fontId="9" numFmtId="0" xfId="0" applyAlignment="1" applyBorder="1" applyFont="1">
      <alignment horizontal="center" vertical="center"/>
    </xf>
    <xf borderId="61" fillId="0" fontId="9" numFmtId="0" xfId="0" applyAlignment="1" applyBorder="1" applyFont="1">
      <alignment horizontal="center" vertical="center"/>
    </xf>
    <xf borderId="62" fillId="0" fontId="9" numFmtId="0" xfId="0" applyAlignment="1" applyBorder="1" applyFont="1">
      <alignment horizontal="center" vertical="center"/>
    </xf>
    <xf borderId="63" fillId="0" fontId="9" numFmtId="0" xfId="0" applyAlignment="1" applyBorder="1" applyFont="1">
      <alignment horizontal="center" vertical="center"/>
    </xf>
    <xf borderId="64" fillId="0" fontId="9" numFmtId="0" xfId="0" applyAlignment="1" applyBorder="1" applyFont="1">
      <alignment horizontal="center" vertical="center"/>
    </xf>
    <xf borderId="65" fillId="0" fontId="9" numFmtId="0" xfId="0" applyAlignment="1" applyBorder="1" applyFont="1">
      <alignment horizontal="center" vertical="center"/>
    </xf>
    <xf borderId="66" fillId="0" fontId="9" numFmtId="0" xfId="0" applyAlignment="1" applyBorder="1" applyFont="1">
      <alignment horizontal="center" vertical="center"/>
    </xf>
    <xf borderId="41" fillId="0" fontId="9" numFmtId="0" xfId="0" applyAlignment="1" applyBorder="1" applyFont="1">
      <alignment horizontal="center" vertical="center"/>
    </xf>
    <xf borderId="67" fillId="0" fontId="9" numFmtId="0" xfId="0" applyAlignment="1" applyBorder="1" applyFont="1">
      <alignment horizontal="center" vertical="center"/>
    </xf>
    <xf borderId="68" fillId="0" fontId="9" numFmtId="49" xfId="0" applyAlignment="1" applyBorder="1" applyFont="1" applyNumberFormat="1">
      <alignment horizontal="center" vertical="center"/>
    </xf>
    <xf borderId="18" fillId="0" fontId="9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10" fillId="3" fontId="7" numFmtId="0" xfId="0" applyAlignment="1" applyBorder="1" applyFont="1">
      <alignment horizontal="center" readingOrder="0" shrinkToFit="0" vertical="center" wrapText="1"/>
    </xf>
    <xf borderId="10" fillId="6" fontId="7" numFmtId="0" xfId="0" applyAlignment="1" applyBorder="1" applyFont="1">
      <alignment horizontal="center" readingOrder="0" shrinkToFit="0" vertical="center" wrapText="1"/>
    </xf>
    <xf borderId="10" fillId="6" fontId="7" numFmtId="0" xfId="0" applyAlignment="1" applyBorder="1" applyFont="1">
      <alignment horizontal="center" readingOrder="0" shrinkToFit="0" wrapText="1"/>
    </xf>
    <xf borderId="10" fillId="3" fontId="7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horizontal="center" readingOrder="0" shrinkToFit="0" wrapText="1"/>
    </xf>
    <xf borderId="10" fillId="3" fontId="7" numFmtId="0" xfId="0" applyAlignment="1" applyBorder="1" applyFont="1">
      <alignment horizontal="center" readingOrder="0" shrinkToFit="0" vertical="bottom" wrapText="1"/>
    </xf>
    <xf borderId="10" fillId="6" fontId="7" numFmtId="0" xfId="0" applyAlignment="1" applyBorder="1" applyFont="1">
      <alignment horizontal="center" readingOrder="0" shrinkToFit="0" vertical="bottom" wrapText="1"/>
    </xf>
    <xf borderId="10" fillId="3" fontId="7" numFmtId="0" xfId="0" applyAlignment="1" applyBorder="1" applyFont="1">
      <alignment horizontal="center" shrinkToFit="0" wrapText="1"/>
    </xf>
    <xf borderId="10" fillId="3" fontId="7" numFmtId="0" xfId="0" applyAlignment="1" applyBorder="1" applyFont="1">
      <alignment horizontal="center" shrinkToFit="0" vertical="bottom" wrapText="1"/>
    </xf>
    <xf borderId="18" fillId="0" fontId="6" numFmtId="0" xfId="0" applyAlignment="1" applyBorder="1" applyFont="1">
      <alignment horizontal="center" readingOrder="0" vertical="center"/>
    </xf>
    <xf borderId="18" fillId="6" fontId="9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wrapText="1"/>
    </xf>
    <xf borderId="18" fillId="0" fontId="10" numFmtId="0" xfId="0" applyAlignment="1" applyBorder="1" applyFont="1">
      <alignment horizontal="center" readingOrder="0" vertical="center"/>
    </xf>
    <xf borderId="18" fillId="6" fontId="6" numFmtId="0" xfId="0" applyAlignment="1" applyBorder="1" applyFont="1">
      <alignment horizontal="center"/>
    </xf>
    <xf borderId="18" fillId="0" fontId="10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readingOrder="0" vertical="center"/>
    </xf>
    <xf borderId="18" fillId="6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/>
    </xf>
    <xf borderId="18" fillId="0" fontId="6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readingOrder="0"/>
    </xf>
    <xf borderId="18" fillId="6" fontId="6" numFmtId="4" xfId="0" applyAlignment="1" applyBorder="1" applyFont="1" applyNumberFormat="1">
      <alignment horizontal="center" readingOrder="0"/>
    </xf>
    <xf borderId="18" fillId="0" fontId="6" numFmtId="0" xfId="0" applyAlignment="1" applyBorder="1" applyFont="1">
      <alignment horizontal="center" readingOrder="0" shrinkToFit="0" wrapText="1"/>
    </xf>
    <xf borderId="20" fillId="0" fontId="6" numFmtId="0" xfId="0" applyAlignment="1" applyBorder="1" applyFont="1">
      <alignment horizontal="center" readingOrder="0" shrinkToFit="0" wrapText="1"/>
    </xf>
    <xf borderId="20" fillId="6" fontId="6" numFmtId="0" xfId="0" applyAlignment="1" applyBorder="1" applyFont="1">
      <alignment horizontal="center" readingOrder="0" shrinkToFit="0" vertical="center" wrapText="1"/>
    </xf>
    <xf borderId="18" fillId="6" fontId="6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horizontal="center" readingOrder="0" shrinkToFit="0" wrapText="1"/>
    </xf>
    <xf borderId="18" fillId="6" fontId="6" numFmtId="0" xfId="0" applyAlignment="1" applyBorder="1" applyFont="1">
      <alignment horizontal="center" readingOrder="0" shrinkToFit="0" wrapText="1"/>
    </xf>
    <xf borderId="18" fillId="0" fontId="6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shrinkToFit="0" wrapText="1"/>
    </xf>
    <xf borderId="18" fillId="0" fontId="10" numFmtId="0" xfId="0" applyAlignment="1" applyBorder="1" applyFont="1">
      <alignment horizontal="center" shrinkToFit="0" vertical="center" wrapText="1"/>
    </xf>
    <xf borderId="18" fillId="0" fontId="10" numFmtId="0" xfId="0" applyAlignment="1" applyBorder="1" applyFont="1">
      <alignment horizontal="center" shrinkToFit="0" wrapText="1"/>
    </xf>
    <xf borderId="18" fillId="0" fontId="10" numFmtId="0" xfId="0" applyAlignment="1" applyBorder="1" applyFont="1">
      <alignment readingOrder="0" vertical="center"/>
    </xf>
    <xf borderId="18" fillId="0" fontId="10" numFmtId="0" xfId="0" applyAlignment="1" applyBorder="1" applyFont="1">
      <alignment readingOrder="0"/>
    </xf>
    <xf borderId="18" fillId="0" fontId="6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wrapText="1"/>
    </xf>
    <xf borderId="18" fillId="0" fontId="10" numFmtId="0" xfId="0" applyBorder="1" applyFont="1"/>
    <xf borderId="18" fillId="0" fontId="10" numFmtId="0" xfId="0" applyAlignment="1" applyBorder="1" applyFont="1">
      <alignment horizontal="center"/>
    </xf>
    <xf borderId="18" fillId="0" fontId="1" numFmtId="0" xfId="0" applyBorder="1" applyFont="1"/>
    <xf borderId="18" fillId="6" fontId="6" numFmtId="4" xfId="0" applyAlignment="1" applyBorder="1" applyFont="1" applyNumberFormat="1">
      <alignment horizontal="center"/>
    </xf>
    <xf borderId="0" fillId="0" fontId="1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9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0.38"/>
    <col customWidth="1" min="3" max="3" width="26.88"/>
    <col customWidth="1" min="4" max="4" width="9.5"/>
    <col customWidth="1" min="5" max="5" width="10.75"/>
    <col customWidth="1" min="6" max="6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3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13</v>
      </c>
      <c r="D4" s="1" t="s">
        <v>3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13</v>
      </c>
      <c r="D5" s="1" t="s">
        <v>3</v>
      </c>
      <c r="E5" s="1" t="s">
        <v>22</v>
      </c>
      <c r="F5" s="1" t="s">
        <v>23</v>
      </c>
    </row>
    <row r="6">
      <c r="A6" s="1" t="s">
        <v>24</v>
      </c>
      <c r="B6" s="1" t="s">
        <v>25</v>
      </c>
      <c r="C6" s="1" t="s">
        <v>13</v>
      </c>
      <c r="D6" s="1" t="s">
        <v>3</v>
      </c>
      <c r="E6" s="1" t="s">
        <v>26</v>
      </c>
      <c r="F6" s="1" t="s">
        <v>27</v>
      </c>
    </row>
    <row r="7">
      <c r="A7" s="1" t="s">
        <v>28</v>
      </c>
      <c r="B7" s="1" t="s">
        <v>29</v>
      </c>
      <c r="C7" s="1" t="s">
        <v>13</v>
      </c>
      <c r="D7" s="1" t="s">
        <v>3</v>
      </c>
      <c r="E7" s="1" t="s">
        <v>30</v>
      </c>
      <c r="F7" s="1" t="s">
        <v>31</v>
      </c>
    </row>
    <row r="8">
      <c r="A8" s="1" t="s">
        <v>32</v>
      </c>
      <c r="B8" s="1" t="s">
        <v>33</v>
      </c>
      <c r="C8" s="1" t="s">
        <v>13</v>
      </c>
      <c r="D8" s="1" t="s">
        <v>3</v>
      </c>
      <c r="E8" s="1" t="s">
        <v>34</v>
      </c>
      <c r="F8" s="1" t="s">
        <v>35</v>
      </c>
    </row>
    <row r="9">
      <c r="A9" s="1" t="s">
        <v>36</v>
      </c>
      <c r="B9" s="1" t="s">
        <v>37</v>
      </c>
      <c r="C9" s="1" t="s">
        <v>13</v>
      </c>
      <c r="D9" s="1" t="s">
        <v>3</v>
      </c>
      <c r="E9" s="1" t="s">
        <v>38</v>
      </c>
      <c r="F9" s="1" t="s">
        <v>39</v>
      </c>
    </row>
    <row r="10">
      <c r="A10" s="1" t="s">
        <v>40</v>
      </c>
      <c r="B10" s="1" t="s">
        <v>41</v>
      </c>
      <c r="C10" s="1" t="s">
        <v>2</v>
      </c>
      <c r="D10" s="1" t="s">
        <v>3</v>
      </c>
      <c r="E10" s="1" t="s">
        <v>42</v>
      </c>
      <c r="F10" s="1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3</v>
      </c>
      <c r="E11" s="1" t="s">
        <v>47</v>
      </c>
      <c r="F11" s="1" t="s">
        <v>48</v>
      </c>
    </row>
    <row r="12">
      <c r="A12" s="1" t="s">
        <v>49</v>
      </c>
      <c r="B12" s="1" t="s">
        <v>50</v>
      </c>
      <c r="C12" s="1" t="s">
        <v>13</v>
      </c>
      <c r="D12" s="1" t="s">
        <v>3</v>
      </c>
      <c r="E12" s="1" t="s">
        <v>51</v>
      </c>
      <c r="F12" s="1" t="s">
        <v>52</v>
      </c>
    </row>
    <row r="13">
      <c r="A13" s="1" t="s">
        <v>53</v>
      </c>
      <c r="B13" s="1" t="s">
        <v>54</v>
      </c>
      <c r="C13" s="1" t="s">
        <v>13</v>
      </c>
      <c r="D13" s="1" t="s">
        <v>3</v>
      </c>
      <c r="E13" s="1" t="s">
        <v>55</v>
      </c>
      <c r="F13" s="1" t="s">
        <v>56</v>
      </c>
    </row>
    <row r="14">
      <c r="A14" s="1" t="s">
        <v>57</v>
      </c>
      <c r="B14" s="1" t="s">
        <v>58</v>
      </c>
      <c r="C14" s="1" t="s">
        <v>13</v>
      </c>
      <c r="D14" s="1" t="s">
        <v>3</v>
      </c>
      <c r="E14" s="1" t="s">
        <v>59</v>
      </c>
      <c r="F14" s="1" t="s">
        <v>60</v>
      </c>
    </row>
    <row r="15">
      <c r="A15" s="1" t="s">
        <v>61</v>
      </c>
      <c r="B15" s="1" t="s">
        <v>62</v>
      </c>
      <c r="C15" s="1" t="s">
        <v>13</v>
      </c>
      <c r="D15" s="1" t="s">
        <v>3</v>
      </c>
      <c r="E15" s="1" t="s">
        <v>63</v>
      </c>
      <c r="F15" s="1" t="s">
        <v>64</v>
      </c>
    </row>
    <row r="16">
      <c r="A16" s="1" t="s">
        <v>65</v>
      </c>
      <c r="B16" s="1" t="s">
        <v>66</v>
      </c>
      <c r="C16" s="1" t="s">
        <v>13</v>
      </c>
      <c r="D16" s="1" t="s">
        <v>3</v>
      </c>
      <c r="E16" s="1" t="s">
        <v>67</v>
      </c>
      <c r="F16" s="1" t="s">
        <v>68</v>
      </c>
    </row>
    <row r="17">
      <c r="A17" s="1" t="s">
        <v>69</v>
      </c>
      <c r="B17" s="1" t="s">
        <v>70</v>
      </c>
      <c r="C17" s="1" t="s">
        <v>13</v>
      </c>
      <c r="D17" s="1" t="s">
        <v>3</v>
      </c>
      <c r="E17" s="1" t="s">
        <v>71</v>
      </c>
      <c r="F17" s="1" t="s">
        <v>72</v>
      </c>
    </row>
    <row r="18">
      <c r="A18" s="1" t="s">
        <v>73</v>
      </c>
      <c r="B18" s="1" t="s">
        <v>74</v>
      </c>
      <c r="C18" s="1" t="s">
        <v>13</v>
      </c>
      <c r="D18" s="1" t="s">
        <v>3</v>
      </c>
      <c r="E18" s="1" t="s">
        <v>75</v>
      </c>
      <c r="F18" s="1" t="s">
        <v>76</v>
      </c>
    </row>
    <row r="19">
      <c r="A19" s="1" t="s">
        <v>77</v>
      </c>
      <c r="B19" s="1" t="s">
        <v>78</v>
      </c>
      <c r="C19" s="1" t="s">
        <v>46</v>
      </c>
      <c r="D19" s="1" t="s">
        <v>3</v>
      </c>
      <c r="E19" s="1" t="s">
        <v>79</v>
      </c>
      <c r="F19" s="1" t="s">
        <v>80</v>
      </c>
    </row>
    <row r="20">
      <c r="A20" s="1" t="s">
        <v>81</v>
      </c>
      <c r="B20" s="1" t="s">
        <v>82</v>
      </c>
      <c r="C20" s="1" t="s">
        <v>13</v>
      </c>
      <c r="D20" s="1" t="s">
        <v>3</v>
      </c>
      <c r="E20" s="1" t="s">
        <v>83</v>
      </c>
      <c r="F20" s="1" t="s">
        <v>84</v>
      </c>
    </row>
    <row r="21">
      <c r="A21" s="1" t="s">
        <v>85</v>
      </c>
      <c r="B21" s="1" t="s">
        <v>86</v>
      </c>
      <c r="C21" s="1" t="s">
        <v>13</v>
      </c>
      <c r="D21" s="1" t="s">
        <v>3</v>
      </c>
      <c r="E21" s="1" t="s">
        <v>87</v>
      </c>
      <c r="F21" s="1" t="s">
        <v>88</v>
      </c>
    </row>
    <row r="22">
      <c r="A22" s="1" t="s">
        <v>89</v>
      </c>
      <c r="B22" s="1" t="s">
        <v>90</v>
      </c>
      <c r="C22" s="1" t="s">
        <v>13</v>
      </c>
      <c r="D22" s="1" t="s">
        <v>3</v>
      </c>
      <c r="E22" s="1" t="s">
        <v>91</v>
      </c>
      <c r="F22" s="1" t="s">
        <v>92</v>
      </c>
    </row>
    <row r="23">
      <c r="A23" s="1" t="s">
        <v>93</v>
      </c>
      <c r="B23" s="1" t="s">
        <v>94</v>
      </c>
      <c r="C23" s="1" t="s">
        <v>13</v>
      </c>
      <c r="D23" s="1" t="s">
        <v>3</v>
      </c>
      <c r="E23" s="1" t="s">
        <v>95</v>
      </c>
      <c r="F23" s="1" t="s">
        <v>96</v>
      </c>
    </row>
    <row r="24">
      <c r="A24" s="1" t="s">
        <v>97</v>
      </c>
      <c r="B24" s="1" t="s">
        <v>98</v>
      </c>
      <c r="C24" s="1" t="s">
        <v>13</v>
      </c>
      <c r="D24" s="1" t="s">
        <v>3</v>
      </c>
      <c r="E24" s="1" t="s">
        <v>99</v>
      </c>
      <c r="F24" s="1" t="s">
        <v>100</v>
      </c>
    </row>
    <row r="25">
      <c r="A25" s="1" t="s">
        <v>101</v>
      </c>
      <c r="B25" s="1" t="s">
        <v>102</v>
      </c>
      <c r="C25" s="1" t="s">
        <v>13</v>
      </c>
      <c r="D25" s="1" t="s">
        <v>3</v>
      </c>
      <c r="E25" s="1" t="s">
        <v>103</v>
      </c>
      <c r="F25" s="1" t="s">
        <v>104</v>
      </c>
    </row>
    <row r="26">
      <c r="A26" s="1" t="s">
        <v>105</v>
      </c>
      <c r="B26" s="1" t="s">
        <v>106</v>
      </c>
      <c r="C26" s="1" t="s">
        <v>13</v>
      </c>
      <c r="D26" s="1" t="s">
        <v>3</v>
      </c>
      <c r="E26" s="1" t="s">
        <v>107</v>
      </c>
      <c r="F26" s="1" t="s">
        <v>108</v>
      </c>
    </row>
    <row r="27">
      <c r="A27" s="1" t="s">
        <v>109</v>
      </c>
      <c r="B27" s="1" t="s">
        <v>110</v>
      </c>
      <c r="C27" s="1" t="s">
        <v>8</v>
      </c>
      <c r="D27" s="1" t="s">
        <v>3</v>
      </c>
      <c r="E27" s="1" t="s">
        <v>111</v>
      </c>
      <c r="F27" s="1" t="s">
        <v>112</v>
      </c>
    </row>
    <row r="28">
      <c r="A28" s="1" t="s">
        <v>113</v>
      </c>
      <c r="B28" s="1" t="s">
        <v>114</v>
      </c>
      <c r="C28" s="1" t="s">
        <v>13</v>
      </c>
      <c r="D28" s="1" t="s">
        <v>3</v>
      </c>
      <c r="E28" s="1" t="s">
        <v>115</v>
      </c>
      <c r="F28" s="1" t="s">
        <v>116</v>
      </c>
    </row>
    <row r="29">
      <c r="A29" s="1" t="s">
        <v>117</v>
      </c>
      <c r="B29" s="1" t="s">
        <v>118</v>
      </c>
      <c r="C29" s="1" t="s">
        <v>13</v>
      </c>
      <c r="D29" s="1" t="s">
        <v>3</v>
      </c>
      <c r="E29" s="1" t="s">
        <v>119</v>
      </c>
      <c r="F29" s="1" t="s">
        <v>120</v>
      </c>
    </row>
    <row r="30">
      <c r="A30" s="1" t="s">
        <v>121</v>
      </c>
      <c r="B30" s="1" t="s">
        <v>122</v>
      </c>
      <c r="C30" s="1" t="s">
        <v>2</v>
      </c>
      <c r="D30" s="1" t="s">
        <v>3</v>
      </c>
      <c r="E30" s="1" t="s">
        <v>123</v>
      </c>
      <c r="F30" s="1" t="s">
        <v>124</v>
      </c>
    </row>
    <row r="31">
      <c r="A31" s="1" t="s">
        <v>125</v>
      </c>
      <c r="B31" s="1" t="s">
        <v>126</v>
      </c>
      <c r="C31" s="1" t="s">
        <v>13</v>
      </c>
      <c r="D31" s="1" t="s">
        <v>3</v>
      </c>
      <c r="E31" s="1" t="s">
        <v>127</v>
      </c>
      <c r="F31" s="1" t="s">
        <v>128</v>
      </c>
    </row>
    <row r="32">
      <c r="A32" s="1" t="s">
        <v>129</v>
      </c>
      <c r="B32" s="1" t="s">
        <v>130</v>
      </c>
      <c r="C32" s="1" t="s">
        <v>13</v>
      </c>
      <c r="D32" s="1" t="s">
        <v>3</v>
      </c>
      <c r="E32" s="1" t="s">
        <v>131</v>
      </c>
      <c r="F32" s="1" t="s">
        <v>132</v>
      </c>
    </row>
    <row r="33">
      <c r="A33" s="1" t="s">
        <v>133</v>
      </c>
      <c r="B33" s="1" t="s">
        <v>134</v>
      </c>
      <c r="C33" s="1" t="s">
        <v>13</v>
      </c>
      <c r="D33" s="1" t="s">
        <v>3</v>
      </c>
      <c r="E33" s="1" t="s">
        <v>135</v>
      </c>
      <c r="F33" s="1" t="s">
        <v>136</v>
      </c>
    </row>
    <row r="34">
      <c r="A34" s="1" t="s">
        <v>137</v>
      </c>
      <c r="B34" s="1" t="s">
        <v>138</v>
      </c>
      <c r="C34" s="1" t="s">
        <v>8</v>
      </c>
      <c r="D34" s="1" t="s">
        <v>3</v>
      </c>
      <c r="E34" s="1" t="s">
        <v>139</v>
      </c>
      <c r="F34" s="1" t="s">
        <v>140</v>
      </c>
    </row>
    <row r="35">
      <c r="A35" s="1" t="s">
        <v>141</v>
      </c>
      <c r="B35" s="1" t="s">
        <v>142</v>
      </c>
      <c r="C35" s="1" t="s">
        <v>13</v>
      </c>
      <c r="D35" s="1" t="s">
        <v>3</v>
      </c>
      <c r="E35" s="1" t="s">
        <v>143</v>
      </c>
      <c r="F35" s="1" t="s">
        <v>144</v>
      </c>
    </row>
    <row r="36">
      <c r="A36" s="1" t="s">
        <v>145</v>
      </c>
      <c r="B36" s="1" t="s">
        <v>146</v>
      </c>
      <c r="C36" s="1" t="s">
        <v>13</v>
      </c>
      <c r="D36" s="1" t="s">
        <v>3</v>
      </c>
      <c r="E36" s="1" t="s">
        <v>147</v>
      </c>
      <c r="F36" s="1" t="s">
        <v>148</v>
      </c>
    </row>
    <row r="37">
      <c r="A37" s="1" t="s">
        <v>149</v>
      </c>
      <c r="B37" s="1" t="s">
        <v>150</v>
      </c>
      <c r="C37" s="1" t="s">
        <v>13</v>
      </c>
      <c r="D37" s="1" t="s">
        <v>3</v>
      </c>
      <c r="E37" s="1" t="s">
        <v>151</v>
      </c>
      <c r="F37" s="1" t="s">
        <v>152</v>
      </c>
    </row>
    <row r="38">
      <c r="A38" s="1" t="s">
        <v>153</v>
      </c>
      <c r="B38" s="1" t="s">
        <v>154</v>
      </c>
      <c r="C38" s="1" t="s">
        <v>13</v>
      </c>
      <c r="D38" s="1" t="s">
        <v>3</v>
      </c>
      <c r="E38" s="1" t="s">
        <v>155</v>
      </c>
      <c r="F38" s="1" t="s">
        <v>156</v>
      </c>
    </row>
    <row r="39">
      <c r="A39" s="1" t="s">
        <v>157</v>
      </c>
      <c r="B39" s="1" t="s">
        <v>158</v>
      </c>
      <c r="C39" s="1" t="s">
        <v>46</v>
      </c>
      <c r="D39" s="1" t="s">
        <v>3</v>
      </c>
      <c r="E39" s="1" t="s">
        <v>159</v>
      </c>
      <c r="F39" s="1" t="s">
        <v>160</v>
      </c>
    </row>
    <row r="40">
      <c r="A40" s="1" t="s">
        <v>161</v>
      </c>
      <c r="B40" s="1" t="s">
        <v>162</v>
      </c>
      <c r="C40" s="1" t="s">
        <v>13</v>
      </c>
      <c r="D40" s="1" t="s">
        <v>3</v>
      </c>
      <c r="E40" s="1" t="s">
        <v>163</v>
      </c>
      <c r="F40" s="1" t="s">
        <v>164</v>
      </c>
    </row>
    <row r="41">
      <c r="A41" s="1" t="s">
        <v>165</v>
      </c>
      <c r="B41" s="1" t="s">
        <v>166</v>
      </c>
      <c r="C41" s="1" t="s">
        <v>8</v>
      </c>
      <c r="D41" s="1" t="s">
        <v>3</v>
      </c>
      <c r="E41" s="1" t="s">
        <v>167</v>
      </c>
      <c r="F41" s="1" t="s">
        <v>168</v>
      </c>
    </row>
    <row r="42">
      <c r="A42" s="1" t="s">
        <v>169</v>
      </c>
      <c r="B42" s="1" t="s">
        <v>170</v>
      </c>
      <c r="C42" s="1" t="s">
        <v>13</v>
      </c>
      <c r="D42" s="1" t="s">
        <v>3</v>
      </c>
      <c r="E42" s="1" t="s">
        <v>171</v>
      </c>
      <c r="F42" s="1" t="s">
        <v>172</v>
      </c>
    </row>
    <row r="43">
      <c r="A43" s="1" t="s">
        <v>173</v>
      </c>
      <c r="B43" s="1" t="s">
        <v>174</v>
      </c>
      <c r="C43" s="1" t="s">
        <v>13</v>
      </c>
      <c r="D43" s="1" t="s">
        <v>3</v>
      </c>
      <c r="E43" s="1" t="s">
        <v>175</v>
      </c>
      <c r="F43" s="1" t="s">
        <v>176</v>
      </c>
    </row>
    <row r="44">
      <c r="A44" s="1" t="s">
        <v>177</v>
      </c>
      <c r="B44" s="1" t="s">
        <v>178</v>
      </c>
      <c r="C44" s="1" t="s">
        <v>2</v>
      </c>
      <c r="D44" s="1" t="s">
        <v>3</v>
      </c>
      <c r="E44" s="1" t="s">
        <v>179</v>
      </c>
      <c r="F44" s="1" t="s">
        <v>180</v>
      </c>
    </row>
    <row r="45">
      <c r="A45" s="1" t="s">
        <v>181</v>
      </c>
      <c r="B45" s="1" t="s">
        <v>182</v>
      </c>
      <c r="C45" s="1" t="s">
        <v>13</v>
      </c>
      <c r="D45" s="1" t="s">
        <v>3</v>
      </c>
      <c r="E45" s="1" t="s">
        <v>183</v>
      </c>
      <c r="F45" s="1" t="s">
        <v>184</v>
      </c>
    </row>
    <row r="46">
      <c r="A46" s="1" t="s">
        <v>185</v>
      </c>
      <c r="B46" s="1" t="s">
        <v>186</v>
      </c>
      <c r="C46" s="1" t="s">
        <v>13</v>
      </c>
      <c r="D46" s="1" t="s">
        <v>3</v>
      </c>
      <c r="E46" s="1" t="s">
        <v>187</v>
      </c>
      <c r="F46" s="1" t="s">
        <v>188</v>
      </c>
    </row>
    <row r="47">
      <c r="A47" s="1" t="s">
        <v>189</v>
      </c>
      <c r="B47" s="1" t="s">
        <v>190</v>
      </c>
      <c r="C47" s="1" t="s">
        <v>13</v>
      </c>
      <c r="D47" s="1" t="s">
        <v>3</v>
      </c>
      <c r="E47" s="1" t="s">
        <v>191</v>
      </c>
      <c r="F47" s="1" t="s">
        <v>192</v>
      </c>
    </row>
    <row r="48">
      <c r="A48" s="1" t="s">
        <v>193</v>
      </c>
      <c r="B48" s="1" t="s">
        <v>194</v>
      </c>
      <c r="C48" s="1" t="s">
        <v>8</v>
      </c>
      <c r="D48" s="1" t="s">
        <v>3</v>
      </c>
      <c r="E48" s="1" t="s">
        <v>195</v>
      </c>
      <c r="F48" s="1" t="s">
        <v>196</v>
      </c>
    </row>
    <row r="49">
      <c r="A49" s="1" t="s">
        <v>197</v>
      </c>
      <c r="B49" s="1" t="s">
        <v>198</v>
      </c>
      <c r="C49" s="1" t="s">
        <v>13</v>
      </c>
      <c r="D49" s="1" t="s">
        <v>3</v>
      </c>
      <c r="E49" s="1" t="s">
        <v>199</v>
      </c>
      <c r="F49" s="1" t="s">
        <v>200</v>
      </c>
    </row>
    <row r="50">
      <c r="A50" s="1" t="s">
        <v>201</v>
      </c>
      <c r="B50" s="1" t="s">
        <v>202</v>
      </c>
      <c r="C50" s="1" t="s">
        <v>13</v>
      </c>
      <c r="D50" s="1" t="s">
        <v>3</v>
      </c>
      <c r="E50" s="1" t="s">
        <v>203</v>
      </c>
      <c r="F50" s="1" t="s">
        <v>204</v>
      </c>
    </row>
    <row r="51">
      <c r="A51" s="1" t="s">
        <v>205</v>
      </c>
      <c r="B51" s="1" t="s">
        <v>206</v>
      </c>
      <c r="C51" s="1" t="s">
        <v>13</v>
      </c>
      <c r="D51" s="1" t="s">
        <v>3</v>
      </c>
      <c r="E51" s="1" t="s">
        <v>207</v>
      </c>
      <c r="F51" s="1" t="s">
        <v>208</v>
      </c>
    </row>
    <row r="52">
      <c r="A52" s="1" t="s">
        <v>209</v>
      </c>
      <c r="B52" s="1" t="s">
        <v>210</v>
      </c>
      <c r="C52" s="1" t="s">
        <v>8</v>
      </c>
      <c r="D52" s="1" t="s">
        <v>3</v>
      </c>
      <c r="E52" s="1" t="s">
        <v>211</v>
      </c>
      <c r="F52" s="1" t="s">
        <v>212</v>
      </c>
    </row>
    <row r="53">
      <c r="A53" s="1" t="s">
        <v>213</v>
      </c>
      <c r="B53" s="1" t="s">
        <v>214</v>
      </c>
      <c r="C53" s="1" t="s">
        <v>13</v>
      </c>
      <c r="D53" s="1" t="s">
        <v>3</v>
      </c>
      <c r="E53" s="1" t="s">
        <v>215</v>
      </c>
      <c r="F53" s="1" t="s">
        <v>216</v>
      </c>
    </row>
    <row r="54">
      <c r="A54" s="1" t="s">
        <v>217</v>
      </c>
      <c r="B54" s="1" t="s">
        <v>218</v>
      </c>
      <c r="C54" s="1" t="s">
        <v>13</v>
      </c>
      <c r="D54" s="1" t="s">
        <v>3</v>
      </c>
      <c r="E54" s="1" t="s">
        <v>219</v>
      </c>
      <c r="F54" s="1" t="s">
        <v>220</v>
      </c>
    </row>
    <row r="55">
      <c r="A55" s="1" t="s">
        <v>221</v>
      </c>
      <c r="B55" s="1" t="s">
        <v>222</v>
      </c>
      <c r="C55" s="1" t="s">
        <v>13</v>
      </c>
      <c r="D55" s="1" t="s">
        <v>3</v>
      </c>
      <c r="E55" s="1" t="s">
        <v>223</v>
      </c>
      <c r="F55" s="1" t="s">
        <v>224</v>
      </c>
    </row>
    <row r="56">
      <c r="A56" s="1" t="s">
        <v>225</v>
      </c>
      <c r="B56" s="1" t="s">
        <v>226</v>
      </c>
      <c r="C56" s="1" t="s">
        <v>2</v>
      </c>
      <c r="D56" s="1" t="s">
        <v>3</v>
      </c>
      <c r="E56" s="1" t="s">
        <v>227</v>
      </c>
      <c r="F56" s="1" t="s">
        <v>228</v>
      </c>
    </row>
    <row r="57">
      <c r="A57" s="1" t="s">
        <v>229</v>
      </c>
      <c r="B57" s="1" t="s">
        <v>230</v>
      </c>
      <c r="C57" s="1" t="s">
        <v>13</v>
      </c>
      <c r="D57" s="1" t="s">
        <v>3</v>
      </c>
      <c r="E57" s="1" t="s">
        <v>231</v>
      </c>
      <c r="F57" s="1" t="s">
        <v>232</v>
      </c>
    </row>
    <row r="58">
      <c r="A58" s="1" t="s">
        <v>233</v>
      </c>
      <c r="B58" s="1" t="s">
        <v>234</v>
      </c>
      <c r="C58" s="1" t="s">
        <v>13</v>
      </c>
      <c r="D58" s="1" t="s">
        <v>3</v>
      </c>
      <c r="E58" s="1" t="s">
        <v>235</v>
      </c>
      <c r="F58" s="1" t="s">
        <v>236</v>
      </c>
    </row>
    <row r="59">
      <c r="A59" s="1" t="s">
        <v>237</v>
      </c>
      <c r="B59" s="1" t="s">
        <v>238</v>
      </c>
      <c r="C59" s="1" t="s">
        <v>13</v>
      </c>
      <c r="D59" s="1" t="s">
        <v>3</v>
      </c>
      <c r="E59" s="1" t="s">
        <v>239</v>
      </c>
      <c r="F59" s="1" t="s">
        <v>240</v>
      </c>
    </row>
    <row r="60">
      <c r="A60" s="1" t="s">
        <v>241</v>
      </c>
      <c r="B60" s="1" t="s">
        <v>242</v>
      </c>
      <c r="C60" s="1" t="s">
        <v>13</v>
      </c>
      <c r="D60" s="1" t="s">
        <v>3</v>
      </c>
      <c r="E60" s="1" t="s">
        <v>243</v>
      </c>
      <c r="F60" s="1" t="s">
        <v>244</v>
      </c>
    </row>
    <row r="61">
      <c r="A61" s="1" t="s">
        <v>245</v>
      </c>
      <c r="B61" s="1" t="s">
        <v>246</v>
      </c>
      <c r="C61" s="1" t="s">
        <v>13</v>
      </c>
      <c r="D61" s="1" t="s">
        <v>3</v>
      </c>
      <c r="E61" s="1" t="s">
        <v>247</v>
      </c>
      <c r="F61" s="1" t="s">
        <v>248</v>
      </c>
    </row>
    <row r="62">
      <c r="A62" s="1" t="s">
        <v>249</v>
      </c>
      <c r="B62" s="1" t="s">
        <v>250</v>
      </c>
      <c r="C62" s="1" t="s">
        <v>46</v>
      </c>
      <c r="D62" s="1" t="s">
        <v>3</v>
      </c>
      <c r="E62" s="1" t="s">
        <v>251</v>
      </c>
      <c r="F62" s="1" t="s">
        <v>252</v>
      </c>
    </row>
    <row r="63">
      <c r="A63" s="1" t="s">
        <v>253</v>
      </c>
      <c r="B63" s="1" t="s">
        <v>254</v>
      </c>
      <c r="C63" s="1" t="s">
        <v>13</v>
      </c>
      <c r="D63" s="1" t="s">
        <v>3</v>
      </c>
      <c r="E63" s="1" t="s">
        <v>255</v>
      </c>
      <c r="F63" s="1" t="s">
        <v>256</v>
      </c>
    </row>
    <row r="64">
      <c r="A64" s="1" t="s">
        <v>257</v>
      </c>
      <c r="B64" s="1" t="s">
        <v>258</v>
      </c>
      <c r="C64" s="1" t="s">
        <v>2</v>
      </c>
      <c r="D64" s="1" t="s">
        <v>3</v>
      </c>
      <c r="E64" s="1" t="s">
        <v>179</v>
      </c>
      <c r="F64" s="1" t="s">
        <v>259</v>
      </c>
    </row>
    <row r="65">
      <c r="A65" s="1" t="s">
        <v>260</v>
      </c>
      <c r="B65" s="1" t="s">
        <v>261</v>
      </c>
      <c r="C65" s="1" t="s">
        <v>13</v>
      </c>
      <c r="D65" s="1" t="s">
        <v>3</v>
      </c>
      <c r="E65" s="1" t="s">
        <v>262</v>
      </c>
      <c r="F65" s="1" t="s">
        <v>263</v>
      </c>
    </row>
    <row r="66">
      <c r="A66" s="1" t="s">
        <v>264</v>
      </c>
      <c r="B66" s="1" t="s">
        <v>265</v>
      </c>
      <c r="C66" s="1" t="s">
        <v>13</v>
      </c>
      <c r="D66" s="1" t="s">
        <v>3</v>
      </c>
      <c r="E66" s="1" t="s">
        <v>266</v>
      </c>
      <c r="F66" s="1" t="s">
        <v>267</v>
      </c>
    </row>
    <row r="67">
      <c r="A67" s="1" t="s">
        <v>268</v>
      </c>
      <c r="B67" s="1" t="s">
        <v>269</v>
      </c>
      <c r="C67" s="1" t="s">
        <v>46</v>
      </c>
      <c r="D67" s="1" t="s">
        <v>3</v>
      </c>
      <c r="E67" s="1" t="s">
        <v>270</v>
      </c>
      <c r="F67" s="1" t="s">
        <v>271</v>
      </c>
    </row>
    <row r="68">
      <c r="A68" s="1" t="s">
        <v>272</v>
      </c>
      <c r="B68" s="1" t="s">
        <v>273</v>
      </c>
      <c r="C68" s="1" t="s">
        <v>13</v>
      </c>
      <c r="D68" s="1" t="s">
        <v>3</v>
      </c>
      <c r="E68" s="1" t="s">
        <v>274</v>
      </c>
      <c r="F68" s="1" t="s">
        <v>275</v>
      </c>
    </row>
    <row r="69">
      <c r="A69" s="1" t="s">
        <v>276</v>
      </c>
      <c r="B69" s="1" t="s">
        <v>277</v>
      </c>
      <c r="C69" s="1" t="s">
        <v>8</v>
      </c>
      <c r="D69" s="1" t="s">
        <v>3</v>
      </c>
      <c r="E69" s="1" t="s">
        <v>278</v>
      </c>
      <c r="F69" s="1" t="s">
        <v>279</v>
      </c>
    </row>
    <row r="70">
      <c r="A70" s="1" t="s">
        <v>280</v>
      </c>
      <c r="B70" s="1" t="s">
        <v>281</v>
      </c>
      <c r="C70" s="1" t="s">
        <v>46</v>
      </c>
      <c r="D70" s="1" t="s">
        <v>3</v>
      </c>
      <c r="E70" s="1" t="s">
        <v>282</v>
      </c>
      <c r="F70" s="1" t="s">
        <v>283</v>
      </c>
    </row>
    <row r="71">
      <c r="A71" s="1" t="s">
        <v>284</v>
      </c>
      <c r="B71" s="1" t="s">
        <v>285</v>
      </c>
      <c r="C71" s="1" t="s">
        <v>2</v>
      </c>
      <c r="D71" s="1" t="s">
        <v>3</v>
      </c>
      <c r="E71" s="1" t="s">
        <v>286</v>
      </c>
      <c r="F71" s="1" t="s">
        <v>287</v>
      </c>
    </row>
    <row r="72">
      <c r="A72" s="1" t="s">
        <v>288</v>
      </c>
      <c r="B72" s="1" t="s">
        <v>289</v>
      </c>
      <c r="C72" s="1" t="s">
        <v>13</v>
      </c>
      <c r="D72" s="1" t="s">
        <v>3</v>
      </c>
      <c r="E72" s="1" t="s">
        <v>290</v>
      </c>
      <c r="F72" s="1" t="s">
        <v>291</v>
      </c>
    </row>
    <row r="73">
      <c r="A73" s="1" t="s">
        <v>292</v>
      </c>
      <c r="B73" s="1" t="s">
        <v>293</v>
      </c>
      <c r="C73" s="1" t="s">
        <v>13</v>
      </c>
      <c r="D73" s="1" t="s">
        <v>3</v>
      </c>
      <c r="E73" s="1" t="s">
        <v>294</v>
      </c>
      <c r="F73" s="1" t="s">
        <v>295</v>
      </c>
    </row>
    <row r="74">
      <c r="A74" s="1" t="s">
        <v>296</v>
      </c>
      <c r="B74" s="1" t="s">
        <v>297</v>
      </c>
      <c r="C74" s="1" t="s">
        <v>13</v>
      </c>
      <c r="D74" s="1" t="s">
        <v>3</v>
      </c>
      <c r="E74" s="1" t="s">
        <v>298</v>
      </c>
      <c r="F74" s="1" t="s">
        <v>299</v>
      </c>
    </row>
    <row r="75">
      <c r="A75" s="1" t="s">
        <v>300</v>
      </c>
      <c r="B75" s="1" t="s">
        <v>301</v>
      </c>
      <c r="C75" s="1" t="s">
        <v>13</v>
      </c>
      <c r="D75" s="1" t="s">
        <v>3</v>
      </c>
      <c r="E75" s="1" t="s">
        <v>302</v>
      </c>
      <c r="F75" s="1" t="s">
        <v>303</v>
      </c>
    </row>
    <row r="76">
      <c r="A76" s="1" t="s">
        <v>304</v>
      </c>
      <c r="B76" s="1" t="s">
        <v>305</v>
      </c>
      <c r="C76" s="1" t="s">
        <v>13</v>
      </c>
      <c r="D76" s="1" t="s">
        <v>3</v>
      </c>
      <c r="E76" s="1" t="s">
        <v>306</v>
      </c>
      <c r="F76" s="1" t="s">
        <v>307</v>
      </c>
    </row>
    <row r="77">
      <c r="A77" s="1" t="s">
        <v>308</v>
      </c>
      <c r="B77" s="1" t="s">
        <v>309</v>
      </c>
      <c r="C77" s="1" t="s">
        <v>13</v>
      </c>
      <c r="D77" s="1" t="s">
        <v>3</v>
      </c>
      <c r="E77" s="1" t="s">
        <v>310</v>
      </c>
      <c r="F77" s="1" t="s">
        <v>311</v>
      </c>
    </row>
    <row r="78">
      <c r="A78" s="1" t="s">
        <v>312</v>
      </c>
      <c r="B78" s="1" t="s">
        <v>313</v>
      </c>
      <c r="C78" s="1" t="s">
        <v>13</v>
      </c>
      <c r="D78" s="1" t="s">
        <v>3</v>
      </c>
      <c r="E78" s="1" t="s">
        <v>314</v>
      </c>
      <c r="F78" s="1" t="s">
        <v>315</v>
      </c>
    </row>
    <row r="79">
      <c r="A79" s="1" t="s">
        <v>316</v>
      </c>
      <c r="B79" s="1" t="s">
        <v>317</v>
      </c>
      <c r="C79" s="1" t="s">
        <v>2</v>
      </c>
      <c r="D79" s="1" t="s">
        <v>3</v>
      </c>
      <c r="E79" s="1" t="s">
        <v>227</v>
      </c>
      <c r="F79" s="1" t="s">
        <v>318</v>
      </c>
    </row>
    <row r="80">
      <c r="A80" s="1" t="s">
        <v>319</v>
      </c>
      <c r="B80" s="1" t="s">
        <v>320</v>
      </c>
      <c r="C80" s="1" t="s">
        <v>13</v>
      </c>
      <c r="D80" s="1" t="s">
        <v>3</v>
      </c>
      <c r="E80" s="1" t="s">
        <v>321</v>
      </c>
      <c r="F80" s="1" t="s">
        <v>322</v>
      </c>
    </row>
    <row r="81">
      <c r="A81" s="1" t="s">
        <v>323</v>
      </c>
      <c r="B81" s="1" t="s">
        <v>324</v>
      </c>
      <c r="C81" s="1" t="s">
        <v>2</v>
      </c>
      <c r="D81" s="1" t="s">
        <v>3</v>
      </c>
      <c r="E81" s="1" t="s">
        <v>325</v>
      </c>
      <c r="F81" s="1" t="s">
        <v>326</v>
      </c>
    </row>
    <row r="82">
      <c r="A82" s="1" t="s">
        <v>327</v>
      </c>
      <c r="B82" s="1" t="s">
        <v>328</v>
      </c>
      <c r="C82" s="1" t="s">
        <v>13</v>
      </c>
      <c r="D82" s="1" t="s">
        <v>3</v>
      </c>
      <c r="E82" s="1" t="s">
        <v>329</v>
      </c>
      <c r="F82" s="1" t="s">
        <v>330</v>
      </c>
    </row>
    <row r="83">
      <c r="A83" s="1" t="s">
        <v>331</v>
      </c>
      <c r="B83" s="1" t="s">
        <v>332</v>
      </c>
      <c r="C83" s="1" t="s">
        <v>13</v>
      </c>
      <c r="D83" s="1" t="s">
        <v>3</v>
      </c>
      <c r="E83" s="1" t="s">
        <v>333</v>
      </c>
      <c r="F83" s="1" t="s">
        <v>334</v>
      </c>
    </row>
    <row r="84">
      <c r="A84" s="1" t="s">
        <v>335</v>
      </c>
      <c r="B84" s="1" t="s">
        <v>336</v>
      </c>
      <c r="C84" s="1" t="s">
        <v>13</v>
      </c>
      <c r="D84" s="1" t="s">
        <v>3</v>
      </c>
      <c r="E84" s="1" t="s">
        <v>337</v>
      </c>
      <c r="F84" s="1" t="s">
        <v>338</v>
      </c>
    </row>
    <row r="85">
      <c r="A85" s="1" t="s">
        <v>339</v>
      </c>
      <c r="B85" s="1" t="s">
        <v>340</v>
      </c>
      <c r="C85" s="1" t="s">
        <v>13</v>
      </c>
      <c r="D85" s="1" t="s">
        <v>3</v>
      </c>
      <c r="E85" s="1" t="s">
        <v>341</v>
      </c>
      <c r="F85" s="1" t="s">
        <v>342</v>
      </c>
    </row>
    <row r="86">
      <c r="A86" s="1" t="s">
        <v>343</v>
      </c>
      <c r="B86" s="1" t="s">
        <v>344</v>
      </c>
      <c r="C86" s="1" t="s">
        <v>13</v>
      </c>
      <c r="D86" s="1" t="s">
        <v>3</v>
      </c>
      <c r="E86" s="1" t="s">
        <v>345</v>
      </c>
      <c r="F86" s="1" t="s">
        <v>346</v>
      </c>
    </row>
    <row r="87">
      <c r="A87" s="1" t="s">
        <v>347</v>
      </c>
      <c r="B87" s="1" t="s">
        <v>348</v>
      </c>
      <c r="C87" s="1" t="s">
        <v>2</v>
      </c>
      <c r="D87" s="1" t="s">
        <v>3</v>
      </c>
      <c r="E87" s="1" t="s">
        <v>286</v>
      </c>
      <c r="F87" s="1" t="s">
        <v>349</v>
      </c>
    </row>
    <row r="88">
      <c r="A88" s="1" t="s">
        <v>350</v>
      </c>
      <c r="B88" s="1" t="s">
        <v>351</v>
      </c>
      <c r="C88" s="1" t="s">
        <v>13</v>
      </c>
      <c r="D88" s="1" t="s">
        <v>3</v>
      </c>
      <c r="E88" s="1" t="s">
        <v>352</v>
      </c>
      <c r="F88" s="1" t="s">
        <v>353</v>
      </c>
    </row>
    <row r="89">
      <c r="A89" s="1" t="s">
        <v>354</v>
      </c>
      <c r="B89" s="1" t="s">
        <v>355</v>
      </c>
      <c r="C89" s="1" t="s">
        <v>13</v>
      </c>
      <c r="D89" s="1" t="s">
        <v>3</v>
      </c>
      <c r="E89" s="1" t="s">
        <v>356</v>
      </c>
      <c r="F89" s="1" t="s">
        <v>357</v>
      </c>
    </row>
    <row r="90">
      <c r="A90" s="1" t="s">
        <v>358</v>
      </c>
      <c r="B90" s="1" t="s">
        <v>359</v>
      </c>
      <c r="C90" s="1" t="s">
        <v>13</v>
      </c>
      <c r="D90" s="1" t="s">
        <v>3</v>
      </c>
      <c r="E90" s="1" t="s">
        <v>360</v>
      </c>
      <c r="F90" s="1" t="s">
        <v>361</v>
      </c>
    </row>
    <row r="91">
      <c r="A91" s="1" t="s">
        <v>362</v>
      </c>
      <c r="B91" s="1" t="s">
        <v>363</v>
      </c>
      <c r="C91" s="1" t="s">
        <v>13</v>
      </c>
      <c r="D91" s="1" t="s">
        <v>3</v>
      </c>
      <c r="E91" s="1" t="s">
        <v>364</v>
      </c>
      <c r="F91" s="1" t="s">
        <v>365</v>
      </c>
    </row>
    <row r="92">
      <c r="A92" s="1" t="s">
        <v>366</v>
      </c>
      <c r="B92" s="1" t="s">
        <v>367</v>
      </c>
      <c r="C92" s="1" t="s">
        <v>13</v>
      </c>
      <c r="D92" s="1" t="s">
        <v>3</v>
      </c>
      <c r="E92" s="1" t="s">
        <v>368</v>
      </c>
      <c r="F92" s="1" t="s">
        <v>369</v>
      </c>
    </row>
    <row r="93">
      <c r="A93" s="1" t="s">
        <v>370</v>
      </c>
      <c r="B93" s="1" t="s">
        <v>371</v>
      </c>
      <c r="C93" s="1" t="s">
        <v>13</v>
      </c>
      <c r="D93" s="1" t="s">
        <v>3</v>
      </c>
      <c r="E93" s="1" t="s">
        <v>372</v>
      </c>
      <c r="F93" s="1" t="s">
        <v>373</v>
      </c>
    </row>
    <row r="94">
      <c r="A94" s="1" t="s">
        <v>374</v>
      </c>
      <c r="B94" s="1" t="s">
        <v>375</v>
      </c>
      <c r="C94" s="1" t="s">
        <v>13</v>
      </c>
      <c r="D94" s="1" t="s">
        <v>3</v>
      </c>
      <c r="E94" s="1" t="s">
        <v>376</v>
      </c>
      <c r="F94" s="1" t="s">
        <v>377</v>
      </c>
    </row>
    <row r="95">
      <c r="A95" s="1" t="s">
        <v>378</v>
      </c>
      <c r="B95" s="1" t="s">
        <v>379</v>
      </c>
      <c r="C95" s="1" t="s">
        <v>13</v>
      </c>
      <c r="D95" s="1" t="s">
        <v>3</v>
      </c>
      <c r="E95" s="1" t="s">
        <v>380</v>
      </c>
      <c r="F95" s="1" t="s">
        <v>381</v>
      </c>
    </row>
    <row r="96">
      <c r="A96" s="1" t="s">
        <v>382</v>
      </c>
      <c r="B96" s="1" t="s">
        <v>383</v>
      </c>
      <c r="C96" s="1" t="s">
        <v>13</v>
      </c>
      <c r="D96" s="1" t="s">
        <v>3</v>
      </c>
      <c r="E96" s="1" t="s">
        <v>384</v>
      </c>
      <c r="F96" s="1" t="s">
        <v>385</v>
      </c>
    </row>
    <row r="97">
      <c r="A97" s="1" t="s">
        <v>386</v>
      </c>
      <c r="B97" s="1" t="s">
        <v>387</v>
      </c>
      <c r="C97" s="1" t="s">
        <v>13</v>
      </c>
      <c r="D97" s="1" t="s">
        <v>3</v>
      </c>
      <c r="E97" s="1" t="s">
        <v>388</v>
      </c>
      <c r="F97" s="1" t="s">
        <v>389</v>
      </c>
    </row>
    <row r="98">
      <c r="A98" s="1" t="s">
        <v>390</v>
      </c>
      <c r="B98" s="1" t="s">
        <v>391</v>
      </c>
      <c r="C98" s="1" t="s">
        <v>2</v>
      </c>
      <c r="D98" s="1" t="s">
        <v>3</v>
      </c>
      <c r="E98" s="1" t="s">
        <v>392</v>
      </c>
      <c r="F98" s="1" t="s">
        <v>393</v>
      </c>
    </row>
    <row r="99">
      <c r="A99" s="1" t="s">
        <v>394</v>
      </c>
      <c r="B99" s="1" t="s">
        <v>395</v>
      </c>
      <c r="C99" s="1" t="s">
        <v>13</v>
      </c>
      <c r="D99" s="1" t="s">
        <v>3</v>
      </c>
      <c r="E99" s="1" t="s">
        <v>396</v>
      </c>
      <c r="F99" s="1" t="s">
        <v>397</v>
      </c>
    </row>
    <row r="100">
      <c r="A100" s="1" t="s">
        <v>398</v>
      </c>
      <c r="B100" s="1" t="s">
        <v>399</v>
      </c>
      <c r="C100" s="1" t="s">
        <v>13</v>
      </c>
      <c r="D100" s="1" t="s">
        <v>3</v>
      </c>
      <c r="E100" s="1" t="s">
        <v>400</v>
      </c>
      <c r="F100" s="1" t="s">
        <v>401</v>
      </c>
    </row>
    <row r="101">
      <c r="A101" s="1" t="s">
        <v>402</v>
      </c>
      <c r="B101" s="1" t="s">
        <v>403</v>
      </c>
      <c r="C101" s="1" t="s">
        <v>13</v>
      </c>
      <c r="D101" s="1" t="s">
        <v>3</v>
      </c>
      <c r="E101" s="1" t="s">
        <v>404</v>
      </c>
      <c r="F101" s="1" t="s">
        <v>405</v>
      </c>
    </row>
    <row r="102">
      <c r="A102" s="1" t="s">
        <v>406</v>
      </c>
      <c r="B102" s="1" t="s">
        <v>407</v>
      </c>
      <c r="C102" s="1" t="s">
        <v>13</v>
      </c>
      <c r="D102" s="1" t="s">
        <v>3</v>
      </c>
      <c r="E102" s="1" t="s">
        <v>408</v>
      </c>
      <c r="F102" s="1" t="s">
        <v>409</v>
      </c>
    </row>
    <row r="103">
      <c r="A103" s="1" t="s">
        <v>410</v>
      </c>
      <c r="B103" s="1" t="s">
        <v>411</v>
      </c>
      <c r="C103" s="1" t="s">
        <v>13</v>
      </c>
      <c r="D103" s="1" t="s">
        <v>3</v>
      </c>
      <c r="E103" s="1" t="s">
        <v>412</v>
      </c>
      <c r="F103" s="1" t="s">
        <v>413</v>
      </c>
    </row>
    <row r="104">
      <c r="A104" s="1" t="s">
        <v>414</v>
      </c>
      <c r="B104" s="1" t="s">
        <v>415</v>
      </c>
      <c r="C104" s="1" t="s">
        <v>2</v>
      </c>
      <c r="D104" s="1" t="s">
        <v>3</v>
      </c>
      <c r="E104" s="1" t="s">
        <v>416</v>
      </c>
      <c r="F104" s="1" t="s">
        <v>417</v>
      </c>
    </row>
    <row r="105">
      <c r="A105" s="1" t="s">
        <v>418</v>
      </c>
      <c r="B105" s="1" t="s">
        <v>419</v>
      </c>
      <c r="C105" s="1" t="s">
        <v>8</v>
      </c>
      <c r="D105" s="1" t="s">
        <v>3</v>
      </c>
      <c r="E105" s="1" t="s">
        <v>420</v>
      </c>
      <c r="F105" s="1" t="s">
        <v>421</v>
      </c>
    </row>
    <row r="106">
      <c r="A106" s="1" t="s">
        <v>422</v>
      </c>
      <c r="B106" s="1" t="s">
        <v>423</v>
      </c>
      <c r="C106" s="1" t="s">
        <v>13</v>
      </c>
      <c r="D106" s="1" t="s">
        <v>3</v>
      </c>
      <c r="E106" s="1" t="s">
        <v>424</v>
      </c>
      <c r="F106" s="1" t="s">
        <v>425</v>
      </c>
    </row>
    <row r="107">
      <c r="A107" s="1" t="s">
        <v>426</v>
      </c>
      <c r="B107" s="1" t="s">
        <v>427</v>
      </c>
      <c r="C107" s="1" t="s">
        <v>2</v>
      </c>
      <c r="D107" s="1" t="s">
        <v>3</v>
      </c>
      <c r="E107" s="1" t="s">
        <v>428</v>
      </c>
      <c r="F107" s="1" t="s">
        <v>429</v>
      </c>
    </row>
    <row r="108">
      <c r="A108" s="1" t="s">
        <v>430</v>
      </c>
      <c r="B108" s="1" t="s">
        <v>431</v>
      </c>
      <c r="C108" s="1" t="s">
        <v>13</v>
      </c>
      <c r="D108" s="1" t="s">
        <v>3</v>
      </c>
      <c r="E108" s="1" t="s">
        <v>432</v>
      </c>
      <c r="F108" s="1" t="s">
        <v>433</v>
      </c>
    </row>
    <row r="109">
      <c r="A109" s="1" t="s">
        <v>434</v>
      </c>
      <c r="B109" s="1" t="s">
        <v>435</v>
      </c>
      <c r="C109" s="1" t="s">
        <v>13</v>
      </c>
      <c r="D109" s="1" t="s">
        <v>3</v>
      </c>
      <c r="E109" s="1" t="s">
        <v>436</v>
      </c>
      <c r="F109" s="1" t="s">
        <v>437</v>
      </c>
    </row>
    <row r="110">
      <c r="A110" s="1" t="s">
        <v>438</v>
      </c>
      <c r="B110" s="1" t="s">
        <v>439</v>
      </c>
      <c r="C110" s="1" t="s">
        <v>13</v>
      </c>
      <c r="D110" s="1" t="s">
        <v>3</v>
      </c>
      <c r="E110" s="1" t="s">
        <v>440</v>
      </c>
      <c r="F110" s="1" t="s">
        <v>441</v>
      </c>
    </row>
    <row r="111">
      <c r="A111" s="1" t="s">
        <v>442</v>
      </c>
      <c r="B111" s="1" t="s">
        <v>443</v>
      </c>
      <c r="C111" s="1" t="s">
        <v>13</v>
      </c>
      <c r="D111" s="1" t="s">
        <v>3</v>
      </c>
      <c r="E111" s="1" t="s">
        <v>444</v>
      </c>
      <c r="F111" s="1" t="s">
        <v>445</v>
      </c>
    </row>
    <row r="112">
      <c r="A112" s="1" t="s">
        <v>446</v>
      </c>
      <c r="B112" s="1" t="s">
        <v>447</v>
      </c>
      <c r="C112" s="1" t="s">
        <v>13</v>
      </c>
      <c r="D112" s="1" t="s">
        <v>3</v>
      </c>
      <c r="E112" s="1" t="s">
        <v>448</v>
      </c>
      <c r="F112" s="1" t="s">
        <v>449</v>
      </c>
    </row>
    <row r="113">
      <c r="A113" s="1" t="s">
        <v>450</v>
      </c>
      <c r="B113" s="1" t="s">
        <v>451</v>
      </c>
      <c r="C113" s="1" t="s">
        <v>13</v>
      </c>
      <c r="D113" s="1" t="s">
        <v>3</v>
      </c>
      <c r="E113" s="1" t="s">
        <v>452</v>
      </c>
      <c r="F113" s="1" t="s">
        <v>453</v>
      </c>
    </row>
    <row r="114">
      <c r="A114" s="1" t="s">
        <v>454</v>
      </c>
      <c r="B114" s="1" t="s">
        <v>455</v>
      </c>
      <c r="C114" s="1" t="s">
        <v>456</v>
      </c>
      <c r="D114" s="1" t="s">
        <v>3</v>
      </c>
      <c r="E114" s="1" t="s">
        <v>457</v>
      </c>
      <c r="F114" s="1" t="s">
        <v>458</v>
      </c>
    </row>
    <row r="115">
      <c r="A115" s="1" t="s">
        <v>459</v>
      </c>
      <c r="B115" s="1" t="s">
        <v>460</v>
      </c>
      <c r="C115" s="1" t="s">
        <v>13</v>
      </c>
      <c r="D115" s="1" t="s">
        <v>3</v>
      </c>
      <c r="E115" s="1" t="s">
        <v>461</v>
      </c>
      <c r="F115" s="1" t="s">
        <v>462</v>
      </c>
    </row>
    <row r="116">
      <c r="A116" s="1" t="s">
        <v>463</v>
      </c>
      <c r="B116" s="1" t="s">
        <v>464</v>
      </c>
      <c r="C116" s="1" t="s">
        <v>13</v>
      </c>
      <c r="D116" s="1" t="s">
        <v>3</v>
      </c>
      <c r="E116" s="1" t="s">
        <v>465</v>
      </c>
      <c r="F116" s="1" t="s">
        <v>466</v>
      </c>
    </row>
    <row r="117">
      <c r="A117" s="1" t="s">
        <v>467</v>
      </c>
      <c r="B117" s="1" t="s">
        <v>468</v>
      </c>
      <c r="C117" s="1" t="s">
        <v>2</v>
      </c>
      <c r="D117" s="1" t="s">
        <v>3</v>
      </c>
      <c r="E117" s="1" t="s">
        <v>321</v>
      </c>
      <c r="F117" s="1" t="s">
        <v>469</v>
      </c>
    </row>
    <row r="118">
      <c r="A118" s="1" t="s">
        <v>470</v>
      </c>
      <c r="B118" s="1" t="s">
        <v>471</v>
      </c>
      <c r="C118" s="1" t="s">
        <v>13</v>
      </c>
      <c r="D118" s="1" t="s">
        <v>3</v>
      </c>
      <c r="E118" s="1" t="s">
        <v>472</v>
      </c>
      <c r="F118" s="1" t="s">
        <v>473</v>
      </c>
    </row>
    <row r="119">
      <c r="A119" s="1" t="s">
        <v>474</v>
      </c>
      <c r="B119" s="1" t="s">
        <v>475</v>
      </c>
      <c r="C119" s="1" t="s">
        <v>13</v>
      </c>
      <c r="D119" s="1" t="s">
        <v>3</v>
      </c>
      <c r="E119" s="1" t="s">
        <v>476</v>
      </c>
      <c r="F119" s="1" t="s">
        <v>477</v>
      </c>
    </row>
    <row r="120">
      <c r="A120" s="1" t="s">
        <v>478</v>
      </c>
      <c r="B120" s="1" t="s">
        <v>479</v>
      </c>
      <c r="C120" s="1" t="s">
        <v>13</v>
      </c>
      <c r="D120" s="1" t="s">
        <v>3</v>
      </c>
      <c r="E120" s="1" t="s">
        <v>480</v>
      </c>
      <c r="F120" s="1" t="s">
        <v>481</v>
      </c>
    </row>
    <row r="121">
      <c r="A121" s="1" t="s">
        <v>482</v>
      </c>
      <c r="B121" s="1" t="s">
        <v>483</v>
      </c>
      <c r="C121" s="1" t="s">
        <v>13</v>
      </c>
      <c r="D121" s="1" t="s">
        <v>3</v>
      </c>
      <c r="E121" s="1" t="s">
        <v>484</v>
      </c>
      <c r="F121" s="1" t="s">
        <v>485</v>
      </c>
    </row>
    <row r="122">
      <c r="A122" s="1" t="s">
        <v>486</v>
      </c>
      <c r="B122" s="1" t="s">
        <v>487</v>
      </c>
      <c r="C122" s="1" t="s">
        <v>13</v>
      </c>
      <c r="D122" s="1" t="s">
        <v>3</v>
      </c>
      <c r="E122" s="1" t="s">
        <v>488</v>
      </c>
      <c r="F122" s="1" t="s">
        <v>489</v>
      </c>
    </row>
    <row r="123">
      <c r="A123" s="1" t="s">
        <v>490</v>
      </c>
      <c r="B123" s="1" t="s">
        <v>491</v>
      </c>
      <c r="C123" s="1" t="s">
        <v>8</v>
      </c>
      <c r="D123" s="1" t="s">
        <v>3</v>
      </c>
      <c r="E123" s="1" t="s">
        <v>492</v>
      </c>
      <c r="F123" s="1" t="s">
        <v>493</v>
      </c>
    </row>
    <row r="124">
      <c r="A124" s="1" t="s">
        <v>494</v>
      </c>
      <c r="B124" s="1" t="s">
        <v>495</v>
      </c>
      <c r="C124" s="1" t="s">
        <v>13</v>
      </c>
      <c r="D124" s="1" t="s">
        <v>3</v>
      </c>
      <c r="E124" s="1" t="s">
        <v>496</v>
      </c>
      <c r="F124" s="1" t="s">
        <v>497</v>
      </c>
    </row>
    <row r="125">
      <c r="A125" s="1" t="s">
        <v>498</v>
      </c>
      <c r="B125" s="1" t="s">
        <v>499</v>
      </c>
      <c r="C125" s="1" t="s">
        <v>13</v>
      </c>
      <c r="D125" s="1" t="s">
        <v>3</v>
      </c>
      <c r="E125" s="1" t="s">
        <v>500</v>
      </c>
      <c r="F125" s="1" t="s">
        <v>501</v>
      </c>
    </row>
    <row r="126">
      <c r="A126" s="1" t="s">
        <v>502</v>
      </c>
      <c r="B126" s="1" t="s">
        <v>503</v>
      </c>
      <c r="C126" s="1" t="s">
        <v>13</v>
      </c>
      <c r="D126" s="1" t="s">
        <v>3</v>
      </c>
      <c r="E126" s="1" t="s">
        <v>504</v>
      </c>
      <c r="F126" s="1" t="s">
        <v>505</v>
      </c>
    </row>
    <row r="127">
      <c r="A127" s="1" t="s">
        <v>506</v>
      </c>
      <c r="B127" s="1" t="s">
        <v>507</v>
      </c>
      <c r="C127" s="1" t="s">
        <v>13</v>
      </c>
      <c r="D127" s="1" t="s">
        <v>3</v>
      </c>
      <c r="E127" s="1" t="s">
        <v>508</v>
      </c>
      <c r="F127" s="1" t="s">
        <v>509</v>
      </c>
    </row>
    <row r="128">
      <c r="A128" s="1" t="s">
        <v>510</v>
      </c>
      <c r="B128" s="1" t="s">
        <v>511</v>
      </c>
      <c r="C128" s="1" t="s">
        <v>13</v>
      </c>
      <c r="D128" s="1" t="s">
        <v>3</v>
      </c>
      <c r="E128" s="1" t="s">
        <v>512</v>
      </c>
      <c r="F128" s="1" t="s">
        <v>513</v>
      </c>
    </row>
    <row r="129">
      <c r="A129" s="1" t="s">
        <v>514</v>
      </c>
      <c r="B129" s="1" t="s">
        <v>515</v>
      </c>
      <c r="C129" s="1" t="s">
        <v>2</v>
      </c>
      <c r="D129" s="1" t="s">
        <v>3</v>
      </c>
      <c r="E129" s="1" t="s">
        <v>71</v>
      </c>
      <c r="F129" s="1" t="s">
        <v>516</v>
      </c>
    </row>
    <row r="130">
      <c r="A130" s="1" t="s">
        <v>517</v>
      </c>
      <c r="B130" s="1" t="s">
        <v>518</v>
      </c>
      <c r="C130" s="1" t="s">
        <v>13</v>
      </c>
      <c r="D130" s="1" t="s">
        <v>3</v>
      </c>
      <c r="E130" s="1" t="s">
        <v>519</v>
      </c>
      <c r="F130" s="1" t="s">
        <v>520</v>
      </c>
    </row>
    <row r="131">
      <c r="A131" s="1" t="s">
        <v>521</v>
      </c>
      <c r="B131" s="1" t="s">
        <v>522</v>
      </c>
      <c r="C131" s="1" t="s">
        <v>13</v>
      </c>
      <c r="D131" s="1" t="s">
        <v>3</v>
      </c>
      <c r="E131" s="1" t="s">
        <v>523</v>
      </c>
      <c r="F131" s="1" t="s">
        <v>524</v>
      </c>
    </row>
    <row r="132">
      <c r="A132" s="1" t="s">
        <v>525</v>
      </c>
      <c r="B132" s="1" t="s">
        <v>526</v>
      </c>
      <c r="C132" s="1" t="s">
        <v>13</v>
      </c>
      <c r="D132" s="1" t="s">
        <v>3</v>
      </c>
      <c r="E132" s="1" t="s">
        <v>527</v>
      </c>
      <c r="F132" s="1" t="s">
        <v>528</v>
      </c>
    </row>
    <row r="133">
      <c r="A133" s="1" t="s">
        <v>529</v>
      </c>
      <c r="B133" s="1" t="s">
        <v>530</v>
      </c>
      <c r="C133" s="1" t="s">
        <v>2</v>
      </c>
      <c r="D133" s="1" t="s">
        <v>3</v>
      </c>
      <c r="E133" s="1" t="s">
        <v>123</v>
      </c>
      <c r="F133" s="1" t="s">
        <v>531</v>
      </c>
    </row>
    <row r="134">
      <c r="A134" s="1" t="s">
        <v>532</v>
      </c>
      <c r="B134" s="1" t="s">
        <v>533</v>
      </c>
      <c r="C134" s="1" t="s">
        <v>13</v>
      </c>
      <c r="D134" s="1" t="s">
        <v>3</v>
      </c>
      <c r="E134" s="1" t="s">
        <v>534</v>
      </c>
      <c r="F134" s="1" t="s">
        <v>535</v>
      </c>
    </row>
    <row r="135">
      <c r="A135" s="1" t="s">
        <v>536</v>
      </c>
      <c r="B135" s="1" t="s">
        <v>537</v>
      </c>
      <c r="C135" s="1" t="s">
        <v>13</v>
      </c>
      <c r="D135" s="1" t="s">
        <v>3</v>
      </c>
      <c r="E135" s="1" t="s">
        <v>538</v>
      </c>
      <c r="F135" s="1" t="s">
        <v>539</v>
      </c>
    </row>
    <row r="136">
      <c r="A136" s="1" t="s">
        <v>540</v>
      </c>
      <c r="B136" s="1" t="s">
        <v>541</v>
      </c>
      <c r="C136" s="1" t="s">
        <v>13</v>
      </c>
      <c r="D136" s="1" t="s">
        <v>3</v>
      </c>
      <c r="E136" s="1" t="s">
        <v>542</v>
      </c>
      <c r="F136" s="1" t="s">
        <v>543</v>
      </c>
    </row>
    <row r="137">
      <c r="A137" s="1" t="s">
        <v>544</v>
      </c>
      <c r="B137" s="1" t="s">
        <v>545</v>
      </c>
      <c r="C137" s="1" t="s">
        <v>13</v>
      </c>
      <c r="D137" s="1" t="s">
        <v>3</v>
      </c>
      <c r="E137" s="1" t="s">
        <v>546</v>
      </c>
      <c r="F137" s="1" t="s">
        <v>547</v>
      </c>
    </row>
    <row r="138">
      <c r="A138" s="1" t="s">
        <v>548</v>
      </c>
      <c r="B138" s="1" t="s">
        <v>549</v>
      </c>
      <c r="C138" s="1" t="s">
        <v>13</v>
      </c>
      <c r="D138" s="1" t="s">
        <v>3</v>
      </c>
      <c r="E138" s="1" t="s">
        <v>550</v>
      </c>
      <c r="F138" s="1" t="s">
        <v>551</v>
      </c>
    </row>
    <row r="139">
      <c r="A139" s="1" t="s">
        <v>552</v>
      </c>
      <c r="B139" s="1" t="s">
        <v>553</v>
      </c>
      <c r="C139" s="1" t="s">
        <v>13</v>
      </c>
      <c r="D139" s="1" t="s">
        <v>3</v>
      </c>
      <c r="E139" s="1" t="s">
        <v>554</v>
      </c>
      <c r="F139" s="1" t="s">
        <v>555</v>
      </c>
    </row>
    <row r="140">
      <c r="A140" s="1" t="s">
        <v>556</v>
      </c>
      <c r="B140" s="1" t="s">
        <v>557</v>
      </c>
      <c r="C140" s="1" t="s">
        <v>13</v>
      </c>
      <c r="D140" s="1" t="s">
        <v>3</v>
      </c>
      <c r="E140" s="1" t="s">
        <v>558</v>
      </c>
      <c r="F140" s="1" t="s">
        <v>559</v>
      </c>
    </row>
    <row r="141">
      <c r="A141" s="1" t="s">
        <v>560</v>
      </c>
      <c r="B141" s="1" t="s">
        <v>561</v>
      </c>
      <c r="C141" s="1" t="s">
        <v>13</v>
      </c>
      <c r="D141" s="1" t="s">
        <v>3</v>
      </c>
      <c r="E141" s="1" t="s">
        <v>562</v>
      </c>
      <c r="F141" s="1" t="s">
        <v>563</v>
      </c>
    </row>
    <row r="142">
      <c r="A142" s="1" t="s">
        <v>564</v>
      </c>
      <c r="B142" s="1" t="s">
        <v>565</v>
      </c>
      <c r="C142" s="1" t="s">
        <v>13</v>
      </c>
      <c r="D142" s="1" t="s">
        <v>3</v>
      </c>
      <c r="E142" s="1" t="s">
        <v>566</v>
      </c>
      <c r="F142" s="1" t="s">
        <v>567</v>
      </c>
    </row>
    <row r="143">
      <c r="A143" s="1" t="s">
        <v>568</v>
      </c>
      <c r="B143" s="1" t="s">
        <v>569</v>
      </c>
      <c r="C143" s="1" t="s">
        <v>13</v>
      </c>
      <c r="D143" s="1" t="s">
        <v>3</v>
      </c>
      <c r="E143" s="1" t="s">
        <v>570</v>
      </c>
      <c r="F143" s="1" t="s">
        <v>571</v>
      </c>
    </row>
    <row r="144">
      <c r="A144" s="1" t="s">
        <v>572</v>
      </c>
      <c r="B144" s="1" t="s">
        <v>573</v>
      </c>
      <c r="C144" s="1" t="s">
        <v>13</v>
      </c>
      <c r="D144" s="1" t="s">
        <v>3</v>
      </c>
      <c r="E144" s="1" t="s">
        <v>574</v>
      </c>
      <c r="F144" s="1" t="s">
        <v>575</v>
      </c>
    </row>
    <row r="145">
      <c r="A145" s="1" t="s">
        <v>576</v>
      </c>
      <c r="B145" s="1" t="s">
        <v>577</v>
      </c>
      <c r="C145" s="1" t="s">
        <v>13</v>
      </c>
      <c r="D145" s="1" t="s">
        <v>3</v>
      </c>
      <c r="E145" s="1" t="s">
        <v>578</v>
      </c>
      <c r="F145" s="1" t="s">
        <v>579</v>
      </c>
    </row>
    <row r="146">
      <c r="A146" s="1" t="s">
        <v>580</v>
      </c>
      <c r="B146" s="1" t="s">
        <v>581</v>
      </c>
      <c r="C146" s="1" t="s">
        <v>13</v>
      </c>
      <c r="D146" s="1" t="s">
        <v>3</v>
      </c>
      <c r="E146" s="1" t="s">
        <v>582</v>
      </c>
      <c r="F146" s="1" t="s">
        <v>583</v>
      </c>
    </row>
    <row r="147">
      <c r="A147" s="1" t="s">
        <v>584</v>
      </c>
      <c r="B147" s="1" t="s">
        <v>585</v>
      </c>
      <c r="C147" s="1" t="s">
        <v>13</v>
      </c>
      <c r="D147" s="1" t="s">
        <v>3</v>
      </c>
      <c r="E147" s="1" t="s">
        <v>586</v>
      </c>
      <c r="F147" s="1" t="s">
        <v>587</v>
      </c>
    </row>
    <row r="148">
      <c r="A148" s="1" t="s">
        <v>588</v>
      </c>
      <c r="B148" s="1" t="s">
        <v>589</v>
      </c>
      <c r="C148" s="1" t="s">
        <v>590</v>
      </c>
      <c r="D148" s="1" t="s">
        <v>591</v>
      </c>
      <c r="E148" s="1" t="s">
        <v>592</v>
      </c>
      <c r="F148" s="1" t="s">
        <v>593</v>
      </c>
    </row>
    <row r="149">
      <c r="A149" s="1" t="s">
        <v>594</v>
      </c>
      <c r="B149" s="1" t="s">
        <v>595</v>
      </c>
      <c r="C149" s="1" t="s">
        <v>590</v>
      </c>
      <c r="D149" s="1" t="s">
        <v>591</v>
      </c>
      <c r="E149" s="1" t="s">
        <v>592</v>
      </c>
      <c r="F149" s="1" t="s">
        <v>596</v>
      </c>
    </row>
    <row r="150">
      <c r="A150" s="1" t="s">
        <v>597</v>
      </c>
      <c r="B150" s="1" t="s">
        <v>598</v>
      </c>
      <c r="C150" s="1" t="s">
        <v>590</v>
      </c>
      <c r="D150" s="1" t="s">
        <v>591</v>
      </c>
      <c r="E150" s="1" t="s">
        <v>592</v>
      </c>
      <c r="F150" s="1" t="s">
        <v>599</v>
      </c>
    </row>
    <row r="151">
      <c r="A151" s="1" t="s">
        <v>600</v>
      </c>
      <c r="B151" s="1" t="s">
        <v>601</v>
      </c>
      <c r="C151" s="1" t="s">
        <v>602</v>
      </c>
      <c r="D151" s="1" t="s">
        <v>591</v>
      </c>
      <c r="E151" s="1" t="s">
        <v>592</v>
      </c>
      <c r="F151" s="1" t="s">
        <v>603</v>
      </c>
    </row>
    <row r="152">
      <c r="A152" s="1" t="s">
        <v>604</v>
      </c>
      <c r="B152" s="1" t="s">
        <v>605</v>
      </c>
      <c r="C152" s="1" t="s">
        <v>590</v>
      </c>
      <c r="D152" s="1" t="s">
        <v>591</v>
      </c>
      <c r="E152" s="1" t="s">
        <v>592</v>
      </c>
      <c r="F152" s="1" t="s">
        <v>606</v>
      </c>
    </row>
    <row r="153">
      <c r="A153" s="1" t="s">
        <v>607</v>
      </c>
      <c r="B153" s="1" t="s">
        <v>608</v>
      </c>
      <c r="C153" s="1" t="s">
        <v>590</v>
      </c>
      <c r="D153" s="1" t="s">
        <v>591</v>
      </c>
      <c r="E153" s="1" t="s">
        <v>592</v>
      </c>
      <c r="F153" s="1" t="s">
        <v>609</v>
      </c>
    </row>
    <row r="154">
      <c r="A154" s="1" t="s">
        <v>610</v>
      </c>
      <c r="B154" s="1" t="s">
        <v>611</v>
      </c>
      <c r="C154" s="1" t="s">
        <v>590</v>
      </c>
      <c r="D154" s="1" t="s">
        <v>591</v>
      </c>
      <c r="E154" s="1" t="s">
        <v>592</v>
      </c>
      <c r="F154" s="1" t="s">
        <v>612</v>
      </c>
    </row>
    <row r="155">
      <c r="A155" s="1" t="s">
        <v>613</v>
      </c>
      <c r="B155" s="1" t="s">
        <v>614</v>
      </c>
      <c r="C155" s="1" t="s">
        <v>590</v>
      </c>
      <c r="D155" s="1" t="s">
        <v>591</v>
      </c>
      <c r="E155" s="1" t="s">
        <v>592</v>
      </c>
      <c r="F155" s="1" t="s">
        <v>615</v>
      </c>
    </row>
    <row r="156">
      <c r="A156" s="1" t="s">
        <v>616</v>
      </c>
      <c r="B156" s="1" t="s">
        <v>617</v>
      </c>
      <c r="C156" s="1" t="s">
        <v>590</v>
      </c>
      <c r="D156" s="1" t="s">
        <v>591</v>
      </c>
      <c r="E156" s="1" t="s">
        <v>592</v>
      </c>
      <c r="F156" s="1" t="s">
        <v>618</v>
      </c>
    </row>
    <row r="157">
      <c r="A157" s="1" t="s">
        <v>619</v>
      </c>
      <c r="B157" s="1" t="s">
        <v>620</v>
      </c>
      <c r="C157" s="1" t="s">
        <v>590</v>
      </c>
      <c r="D157" s="1" t="s">
        <v>591</v>
      </c>
      <c r="E157" s="1" t="s">
        <v>592</v>
      </c>
      <c r="F157" s="1" t="s">
        <v>621</v>
      </c>
    </row>
    <row r="158">
      <c r="A158" s="1" t="s">
        <v>622</v>
      </c>
      <c r="B158" s="1" t="s">
        <v>623</v>
      </c>
      <c r="C158" s="1" t="s">
        <v>590</v>
      </c>
      <c r="D158" s="1" t="s">
        <v>591</v>
      </c>
      <c r="E158" s="1" t="s">
        <v>592</v>
      </c>
      <c r="F158" s="1" t="s">
        <v>624</v>
      </c>
    </row>
    <row r="159">
      <c r="A159" s="1" t="s">
        <v>625</v>
      </c>
      <c r="B159" s="1" t="s">
        <v>626</v>
      </c>
      <c r="C159" s="1" t="s">
        <v>590</v>
      </c>
      <c r="D159" s="1" t="s">
        <v>591</v>
      </c>
      <c r="E159" s="1" t="s">
        <v>592</v>
      </c>
      <c r="F159" s="1" t="s">
        <v>627</v>
      </c>
    </row>
    <row r="160">
      <c r="A160" s="1" t="s">
        <v>628</v>
      </c>
      <c r="B160" s="1" t="s">
        <v>629</v>
      </c>
      <c r="C160" s="1" t="s">
        <v>590</v>
      </c>
      <c r="D160" s="1" t="s">
        <v>591</v>
      </c>
      <c r="E160" s="1" t="s">
        <v>592</v>
      </c>
      <c r="F160" s="1" t="s">
        <v>630</v>
      </c>
    </row>
    <row r="161">
      <c r="A161" s="1" t="s">
        <v>631</v>
      </c>
      <c r="B161" s="1" t="s">
        <v>632</v>
      </c>
      <c r="C161" s="1" t="s">
        <v>590</v>
      </c>
      <c r="D161" s="1" t="s">
        <v>591</v>
      </c>
      <c r="E161" s="1" t="s">
        <v>592</v>
      </c>
      <c r="F161" s="1" t="s">
        <v>633</v>
      </c>
    </row>
    <row r="162">
      <c r="A162" s="1" t="s">
        <v>634</v>
      </c>
      <c r="B162" s="1" t="s">
        <v>635</v>
      </c>
      <c r="C162" s="1" t="s">
        <v>590</v>
      </c>
      <c r="D162" s="1" t="s">
        <v>591</v>
      </c>
      <c r="E162" s="1" t="s">
        <v>592</v>
      </c>
      <c r="F162" s="1" t="s">
        <v>636</v>
      </c>
    </row>
    <row r="163">
      <c r="A163" s="1" t="s">
        <v>637</v>
      </c>
      <c r="B163" s="1" t="s">
        <v>638</v>
      </c>
      <c r="C163" s="1" t="s">
        <v>590</v>
      </c>
      <c r="D163" s="1" t="s">
        <v>591</v>
      </c>
      <c r="E163" s="1" t="s">
        <v>592</v>
      </c>
      <c r="F163" s="1" t="s">
        <v>639</v>
      </c>
    </row>
    <row r="164">
      <c r="A164" s="1" t="s">
        <v>640</v>
      </c>
      <c r="B164" s="1" t="s">
        <v>641</v>
      </c>
      <c r="C164" s="1" t="s">
        <v>590</v>
      </c>
      <c r="D164" s="1" t="s">
        <v>591</v>
      </c>
      <c r="E164" s="1" t="s">
        <v>592</v>
      </c>
      <c r="F164" s="1" t="s">
        <v>642</v>
      </c>
    </row>
    <row r="165">
      <c r="A165" s="1" t="s">
        <v>643</v>
      </c>
      <c r="B165" s="1" t="s">
        <v>644</v>
      </c>
      <c r="C165" s="1" t="s">
        <v>590</v>
      </c>
      <c r="D165" s="1" t="s">
        <v>591</v>
      </c>
      <c r="E165" s="1" t="s">
        <v>592</v>
      </c>
      <c r="F165" s="1" t="s">
        <v>645</v>
      </c>
    </row>
    <row r="166">
      <c r="A166" s="1" t="s">
        <v>646</v>
      </c>
      <c r="B166" s="1" t="s">
        <v>647</v>
      </c>
      <c r="C166" s="1" t="s">
        <v>590</v>
      </c>
      <c r="D166" s="1" t="s">
        <v>591</v>
      </c>
      <c r="E166" s="1" t="s">
        <v>592</v>
      </c>
      <c r="F166" s="1" t="s">
        <v>648</v>
      </c>
    </row>
    <row r="167">
      <c r="A167" s="1" t="s">
        <v>649</v>
      </c>
      <c r="B167" s="1" t="s">
        <v>650</v>
      </c>
      <c r="C167" s="1" t="s">
        <v>590</v>
      </c>
      <c r="D167" s="1" t="s">
        <v>591</v>
      </c>
      <c r="E167" s="1" t="s">
        <v>592</v>
      </c>
      <c r="F167" s="1" t="s">
        <v>651</v>
      </c>
    </row>
    <row r="168">
      <c r="A168" s="1" t="s">
        <v>652</v>
      </c>
      <c r="B168" s="1" t="s">
        <v>653</v>
      </c>
      <c r="C168" s="1" t="s">
        <v>590</v>
      </c>
      <c r="D168" s="1" t="s">
        <v>591</v>
      </c>
      <c r="E168" s="1" t="s">
        <v>592</v>
      </c>
      <c r="F168" s="1" t="s">
        <v>654</v>
      </c>
    </row>
    <row r="169">
      <c r="A169" s="1" t="s">
        <v>655</v>
      </c>
      <c r="B169" s="1" t="s">
        <v>656</v>
      </c>
      <c r="C169" s="1" t="s">
        <v>590</v>
      </c>
      <c r="D169" s="1" t="s">
        <v>591</v>
      </c>
      <c r="E169" s="1" t="s">
        <v>592</v>
      </c>
      <c r="F169" s="1" t="s">
        <v>657</v>
      </c>
    </row>
    <row r="170">
      <c r="A170" s="1" t="s">
        <v>658</v>
      </c>
      <c r="B170" s="1" t="s">
        <v>659</v>
      </c>
      <c r="C170" s="1" t="s">
        <v>590</v>
      </c>
      <c r="D170" s="1" t="s">
        <v>591</v>
      </c>
      <c r="E170" s="1" t="s">
        <v>592</v>
      </c>
      <c r="F170" s="1" t="s">
        <v>660</v>
      </c>
    </row>
    <row r="171">
      <c r="A171" s="1" t="s">
        <v>661</v>
      </c>
      <c r="B171" s="1" t="s">
        <v>662</v>
      </c>
      <c r="C171" s="1" t="s">
        <v>590</v>
      </c>
      <c r="D171" s="1" t="s">
        <v>591</v>
      </c>
      <c r="E171" s="1" t="s">
        <v>592</v>
      </c>
      <c r="F171" s="1" t="s">
        <v>663</v>
      </c>
    </row>
    <row r="172">
      <c r="A172" s="1" t="s">
        <v>664</v>
      </c>
      <c r="B172" s="1" t="s">
        <v>665</v>
      </c>
      <c r="C172" s="1" t="s">
        <v>590</v>
      </c>
      <c r="D172" s="1" t="s">
        <v>591</v>
      </c>
      <c r="E172" s="1" t="s">
        <v>592</v>
      </c>
      <c r="F172" s="1" t="s">
        <v>666</v>
      </c>
    </row>
    <row r="173">
      <c r="A173" s="1" t="s">
        <v>667</v>
      </c>
      <c r="B173" s="1" t="s">
        <v>668</v>
      </c>
      <c r="C173" s="1" t="s">
        <v>590</v>
      </c>
      <c r="D173" s="1" t="s">
        <v>591</v>
      </c>
      <c r="E173" s="1" t="s">
        <v>592</v>
      </c>
      <c r="F173" s="1" t="s">
        <v>669</v>
      </c>
    </row>
    <row r="174">
      <c r="A174" s="1" t="s">
        <v>670</v>
      </c>
      <c r="B174" s="1" t="s">
        <v>671</v>
      </c>
      <c r="C174" s="1" t="s">
        <v>590</v>
      </c>
      <c r="D174" s="1" t="s">
        <v>591</v>
      </c>
      <c r="E174" s="1" t="s">
        <v>592</v>
      </c>
      <c r="F174" s="1" t="s">
        <v>672</v>
      </c>
    </row>
    <row r="175">
      <c r="A175" s="1" t="s">
        <v>673</v>
      </c>
      <c r="B175" s="1" t="s">
        <v>674</v>
      </c>
      <c r="C175" s="1" t="s">
        <v>590</v>
      </c>
      <c r="D175" s="1" t="s">
        <v>591</v>
      </c>
      <c r="E175" s="1" t="s">
        <v>592</v>
      </c>
      <c r="F175" s="1" t="s">
        <v>675</v>
      </c>
    </row>
    <row r="176">
      <c r="A176" s="1" t="s">
        <v>676</v>
      </c>
      <c r="B176" s="1" t="s">
        <v>677</v>
      </c>
      <c r="C176" s="1" t="s">
        <v>590</v>
      </c>
      <c r="D176" s="1" t="s">
        <v>591</v>
      </c>
      <c r="E176" s="1" t="s">
        <v>592</v>
      </c>
      <c r="F176" s="1" t="s">
        <v>678</v>
      </c>
    </row>
    <row r="177">
      <c r="A177" s="1" t="s">
        <v>679</v>
      </c>
      <c r="B177" s="1" t="s">
        <v>680</v>
      </c>
      <c r="C177" s="1" t="s">
        <v>590</v>
      </c>
      <c r="D177" s="1" t="s">
        <v>591</v>
      </c>
      <c r="E177" s="1" t="s">
        <v>592</v>
      </c>
      <c r="F177" s="1" t="s">
        <v>681</v>
      </c>
    </row>
    <row r="178">
      <c r="A178" s="1" t="s">
        <v>682</v>
      </c>
      <c r="B178" s="1" t="s">
        <v>683</v>
      </c>
      <c r="C178" s="1" t="s">
        <v>684</v>
      </c>
      <c r="D178" s="1" t="s">
        <v>591</v>
      </c>
      <c r="E178" s="1" t="s">
        <v>685</v>
      </c>
      <c r="F178" s="1" t="s">
        <v>686</v>
      </c>
    </row>
    <row r="179">
      <c r="A179" s="1" t="s">
        <v>687</v>
      </c>
      <c r="B179" s="1" t="s">
        <v>688</v>
      </c>
      <c r="C179" s="1" t="s">
        <v>590</v>
      </c>
      <c r="D179" s="1" t="s">
        <v>591</v>
      </c>
      <c r="E179" s="1" t="s">
        <v>592</v>
      </c>
      <c r="F179" s="1" t="s">
        <v>689</v>
      </c>
    </row>
    <row r="180">
      <c r="A180" s="1" t="s">
        <v>690</v>
      </c>
      <c r="B180" s="1" t="s">
        <v>691</v>
      </c>
      <c r="C180" s="1" t="s">
        <v>590</v>
      </c>
      <c r="D180" s="1" t="s">
        <v>591</v>
      </c>
      <c r="E180" s="1" t="s">
        <v>592</v>
      </c>
      <c r="F180" s="1" t="s">
        <v>692</v>
      </c>
    </row>
    <row r="181">
      <c r="A181" s="1" t="s">
        <v>693</v>
      </c>
      <c r="B181" s="1" t="s">
        <v>694</v>
      </c>
      <c r="C181" s="1" t="s">
        <v>590</v>
      </c>
      <c r="D181" s="1" t="s">
        <v>591</v>
      </c>
      <c r="E181" s="1" t="s">
        <v>592</v>
      </c>
      <c r="F181" s="1" t="s">
        <v>695</v>
      </c>
    </row>
    <row r="182">
      <c r="A182" s="1" t="s">
        <v>696</v>
      </c>
      <c r="B182" s="1" t="s">
        <v>697</v>
      </c>
      <c r="C182" s="1" t="s">
        <v>590</v>
      </c>
      <c r="D182" s="1" t="s">
        <v>591</v>
      </c>
      <c r="E182" s="1" t="s">
        <v>592</v>
      </c>
      <c r="F182" s="1" t="s">
        <v>698</v>
      </c>
    </row>
    <row r="183">
      <c r="A183" s="1" t="s">
        <v>699</v>
      </c>
      <c r="B183" s="1" t="s">
        <v>700</v>
      </c>
      <c r="C183" s="1" t="s">
        <v>590</v>
      </c>
      <c r="D183" s="1" t="s">
        <v>591</v>
      </c>
      <c r="E183" s="1" t="s">
        <v>592</v>
      </c>
      <c r="F183" s="1" t="s">
        <v>701</v>
      </c>
    </row>
    <row r="184">
      <c r="A184" s="1" t="s">
        <v>702</v>
      </c>
      <c r="B184" s="1" t="s">
        <v>703</v>
      </c>
      <c r="C184" s="1" t="s">
        <v>590</v>
      </c>
      <c r="D184" s="1" t="s">
        <v>591</v>
      </c>
      <c r="E184" s="1" t="s">
        <v>592</v>
      </c>
      <c r="F184" s="1" t="s">
        <v>704</v>
      </c>
    </row>
    <row r="185">
      <c r="A185" s="1" t="s">
        <v>705</v>
      </c>
      <c r="B185" s="1" t="s">
        <v>706</v>
      </c>
      <c r="C185" s="1" t="s">
        <v>590</v>
      </c>
      <c r="D185" s="1" t="s">
        <v>591</v>
      </c>
      <c r="E185" s="1" t="s">
        <v>592</v>
      </c>
      <c r="F185" s="1" t="s">
        <v>707</v>
      </c>
    </row>
    <row r="186">
      <c r="A186" s="1" t="s">
        <v>708</v>
      </c>
      <c r="B186" s="1" t="s">
        <v>709</v>
      </c>
      <c r="C186" s="1" t="s">
        <v>590</v>
      </c>
      <c r="D186" s="1" t="s">
        <v>591</v>
      </c>
      <c r="E186" s="1" t="s">
        <v>592</v>
      </c>
      <c r="F186" s="1" t="s">
        <v>710</v>
      </c>
    </row>
    <row r="187">
      <c r="A187" s="1" t="s">
        <v>711</v>
      </c>
      <c r="B187" s="1" t="s">
        <v>712</v>
      </c>
      <c r="C187" s="1" t="s">
        <v>590</v>
      </c>
      <c r="D187" s="1" t="s">
        <v>591</v>
      </c>
      <c r="E187" s="1" t="s">
        <v>592</v>
      </c>
      <c r="F187" s="1" t="s">
        <v>713</v>
      </c>
    </row>
    <row r="188">
      <c r="A188" s="1" t="s">
        <v>714</v>
      </c>
      <c r="B188" s="1" t="s">
        <v>715</v>
      </c>
      <c r="C188" s="1" t="s">
        <v>590</v>
      </c>
      <c r="D188" s="1" t="s">
        <v>591</v>
      </c>
      <c r="E188" s="1" t="s">
        <v>592</v>
      </c>
      <c r="F188" s="1" t="s">
        <v>716</v>
      </c>
    </row>
    <row r="189">
      <c r="A189" s="1" t="s">
        <v>717</v>
      </c>
      <c r="B189" s="1" t="s">
        <v>718</v>
      </c>
      <c r="C189" s="1" t="s">
        <v>590</v>
      </c>
      <c r="D189" s="1" t="s">
        <v>591</v>
      </c>
      <c r="E189" s="1" t="s">
        <v>592</v>
      </c>
      <c r="F189" s="1" t="s">
        <v>719</v>
      </c>
    </row>
    <row r="190">
      <c r="A190" s="1" t="s">
        <v>720</v>
      </c>
      <c r="B190" s="1" t="s">
        <v>721</v>
      </c>
      <c r="C190" s="1" t="s">
        <v>590</v>
      </c>
      <c r="D190" s="1" t="s">
        <v>591</v>
      </c>
      <c r="E190" s="1" t="s">
        <v>592</v>
      </c>
      <c r="F190" s="1" t="s">
        <v>722</v>
      </c>
    </row>
    <row r="191">
      <c r="A191" s="1" t="s">
        <v>723</v>
      </c>
      <c r="B191" s="1" t="s">
        <v>724</v>
      </c>
      <c r="C191" s="1" t="s">
        <v>590</v>
      </c>
      <c r="D191" s="1" t="s">
        <v>591</v>
      </c>
      <c r="E191" s="1" t="s">
        <v>592</v>
      </c>
      <c r="F191" s="1" t="s">
        <v>725</v>
      </c>
    </row>
    <row r="192">
      <c r="A192" s="1" t="s">
        <v>726</v>
      </c>
      <c r="B192" s="1" t="s">
        <v>727</v>
      </c>
      <c r="C192" s="1" t="s">
        <v>590</v>
      </c>
      <c r="D192" s="1" t="s">
        <v>591</v>
      </c>
      <c r="E192" s="1" t="s">
        <v>592</v>
      </c>
      <c r="F192" s="1" t="s">
        <v>728</v>
      </c>
    </row>
    <row r="193">
      <c r="A193" s="1" t="s">
        <v>729</v>
      </c>
      <c r="B193" s="1" t="s">
        <v>730</v>
      </c>
      <c r="C193" s="1" t="s">
        <v>590</v>
      </c>
      <c r="D193" s="1" t="s">
        <v>591</v>
      </c>
      <c r="E193" s="1" t="s">
        <v>592</v>
      </c>
      <c r="F193" s="1" t="s">
        <v>731</v>
      </c>
    </row>
    <row r="194">
      <c r="A194" s="1" t="s">
        <v>732</v>
      </c>
      <c r="B194" s="1" t="s">
        <v>733</v>
      </c>
      <c r="C194" s="1" t="s">
        <v>590</v>
      </c>
      <c r="D194" s="1" t="s">
        <v>591</v>
      </c>
      <c r="E194" s="1" t="s">
        <v>592</v>
      </c>
      <c r="F194" s="1" t="s">
        <v>734</v>
      </c>
    </row>
    <row r="195">
      <c r="A195" s="1" t="s">
        <v>735</v>
      </c>
      <c r="B195" s="1" t="s">
        <v>736</v>
      </c>
      <c r="C195" s="1" t="s">
        <v>590</v>
      </c>
      <c r="D195" s="1" t="s">
        <v>591</v>
      </c>
      <c r="E195" s="1" t="s">
        <v>592</v>
      </c>
      <c r="F195" s="1" t="s">
        <v>737</v>
      </c>
    </row>
    <row r="196">
      <c r="A196" s="1" t="s">
        <v>738</v>
      </c>
      <c r="B196" s="1" t="s">
        <v>739</v>
      </c>
      <c r="C196" s="1" t="s">
        <v>590</v>
      </c>
      <c r="D196" s="1" t="s">
        <v>591</v>
      </c>
      <c r="E196" s="1" t="s">
        <v>592</v>
      </c>
      <c r="F196" s="1" t="s">
        <v>740</v>
      </c>
    </row>
    <row r="197">
      <c r="A197" s="1" t="s">
        <v>741</v>
      </c>
      <c r="B197" s="1" t="s">
        <v>742</v>
      </c>
      <c r="C197" s="1" t="s">
        <v>590</v>
      </c>
      <c r="D197" s="1" t="s">
        <v>591</v>
      </c>
      <c r="E197" s="1" t="s">
        <v>592</v>
      </c>
      <c r="F197" s="1" t="s">
        <v>743</v>
      </c>
    </row>
    <row r="198">
      <c r="A198" s="1" t="s">
        <v>744</v>
      </c>
      <c r="B198" s="1" t="s">
        <v>745</v>
      </c>
      <c r="C198" s="1" t="s">
        <v>590</v>
      </c>
      <c r="D198" s="1" t="s">
        <v>591</v>
      </c>
      <c r="E198" s="1" t="s">
        <v>592</v>
      </c>
      <c r="F198" s="1" t="s">
        <v>746</v>
      </c>
    </row>
    <row r="199">
      <c r="A199" s="1" t="s">
        <v>747</v>
      </c>
      <c r="B199" s="1" t="s">
        <v>748</v>
      </c>
      <c r="C199" s="1" t="s">
        <v>590</v>
      </c>
      <c r="D199" s="1" t="s">
        <v>591</v>
      </c>
      <c r="E199" s="1" t="s">
        <v>592</v>
      </c>
      <c r="F199" s="1" t="s">
        <v>749</v>
      </c>
    </row>
    <row r="200">
      <c r="A200" s="1" t="s">
        <v>750</v>
      </c>
      <c r="B200" s="1" t="s">
        <v>751</v>
      </c>
      <c r="C200" s="1" t="s">
        <v>590</v>
      </c>
      <c r="D200" s="1" t="s">
        <v>591</v>
      </c>
      <c r="E200" s="1" t="s">
        <v>592</v>
      </c>
      <c r="F200" s="1" t="s">
        <v>752</v>
      </c>
    </row>
    <row r="201">
      <c r="A201" s="1" t="s">
        <v>753</v>
      </c>
      <c r="B201" s="1" t="s">
        <v>754</v>
      </c>
      <c r="C201" s="1" t="s">
        <v>590</v>
      </c>
      <c r="D201" s="1" t="s">
        <v>591</v>
      </c>
      <c r="E201" s="1" t="s">
        <v>592</v>
      </c>
      <c r="F201" s="1" t="s">
        <v>755</v>
      </c>
    </row>
    <row r="202">
      <c r="A202" s="1" t="s">
        <v>756</v>
      </c>
      <c r="B202" s="1" t="s">
        <v>757</v>
      </c>
      <c r="C202" s="1" t="s">
        <v>590</v>
      </c>
      <c r="D202" s="1" t="s">
        <v>591</v>
      </c>
      <c r="E202" s="1" t="s">
        <v>592</v>
      </c>
      <c r="F202" s="1" t="s">
        <v>758</v>
      </c>
    </row>
    <row r="203">
      <c r="A203" s="1" t="s">
        <v>759</v>
      </c>
      <c r="B203" s="1" t="s">
        <v>760</v>
      </c>
      <c r="C203" s="1" t="s">
        <v>590</v>
      </c>
      <c r="D203" s="1" t="s">
        <v>591</v>
      </c>
      <c r="E203" s="1" t="s">
        <v>592</v>
      </c>
      <c r="F203" s="1" t="s">
        <v>761</v>
      </c>
    </row>
    <row r="204">
      <c r="A204" s="1" t="s">
        <v>762</v>
      </c>
      <c r="B204" s="1" t="s">
        <v>763</v>
      </c>
      <c r="C204" s="1" t="s">
        <v>590</v>
      </c>
      <c r="D204" s="1" t="s">
        <v>591</v>
      </c>
      <c r="E204" s="1" t="s">
        <v>592</v>
      </c>
      <c r="F204" s="1" t="s">
        <v>764</v>
      </c>
    </row>
    <row r="205">
      <c r="A205" s="1" t="s">
        <v>765</v>
      </c>
      <c r="B205" s="1" t="s">
        <v>766</v>
      </c>
      <c r="C205" s="1" t="s">
        <v>590</v>
      </c>
      <c r="D205" s="1" t="s">
        <v>591</v>
      </c>
      <c r="E205" s="1" t="s">
        <v>592</v>
      </c>
      <c r="F205" s="1" t="s">
        <v>767</v>
      </c>
    </row>
    <row r="206">
      <c r="A206" s="1" t="s">
        <v>768</v>
      </c>
      <c r="B206" s="1" t="s">
        <v>769</v>
      </c>
      <c r="C206" s="1" t="s">
        <v>590</v>
      </c>
      <c r="D206" s="1" t="s">
        <v>591</v>
      </c>
      <c r="E206" s="1" t="s">
        <v>592</v>
      </c>
      <c r="F206" s="1" t="s">
        <v>770</v>
      </c>
    </row>
    <row r="207">
      <c r="A207" s="1" t="s">
        <v>771</v>
      </c>
      <c r="B207" s="1" t="s">
        <v>772</v>
      </c>
      <c r="C207" s="1" t="s">
        <v>590</v>
      </c>
      <c r="D207" s="1" t="s">
        <v>591</v>
      </c>
      <c r="E207" s="1" t="s">
        <v>592</v>
      </c>
      <c r="F207" s="1" t="s">
        <v>773</v>
      </c>
    </row>
    <row r="208">
      <c r="A208" s="1" t="s">
        <v>774</v>
      </c>
      <c r="B208" s="1" t="s">
        <v>775</v>
      </c>
      <c r="C208" s="1" t="s">
        <v>590</v>
      </c>
      <c r="D208" s="1" t="s">
        <v>591</v>
      </c>
      <c r="E208" s="1" t="s">
        <v>592</v>
      </c>
      <c r="F208" s="1" t="s">
        <v>776</v>
      </c>
    </row>
    <row r="209">
      <c r="A209" s="1" t="s">
        <v>777</v>
      </c>
      <c r="B209" s="1" t="s">
        <v>778</v>
      </c>
      <c r="C209" s="1" t="s">
        <v>684</v>
      </c>
      <c r="D209" s="1" t="s">
        <v>591</v>
      </c>
      <c r="E209" s="1" t="s">
        <v>685</v>
      </c>
      <c r="F209" s="1" t="s">
        <v>779</v>
      </c>
    </row>
    <row r="210">
      <c r="A210" s="1" t="s">
        <v>780</v>
      </c>
      <c r="B210" s="1" t="s">
        <v>781</v>
      </c>
      <c r="C210" s="1" t="s">
        <v>590</v>
      </c>
      <c r="D210" s="1" t="s">
        <v>591</v>
      </c>
      <c r="E210" s="1" t="s">
        <v>592</v>
      </c>
      <c r="F210" s="1" t="s">
        <v>782</v>
      </c>
    </row>
    <row r="211">
      <c r="A211" s="1" t="s">
        <v>783</v>
      </c>
      <c r="B211" s="1" t="s">
        <v>784</v>
      </c>
      <c r="C211" s="1" t="s">
        <v>590</v>
      </c>
      <c r="D211" s="1" t="s">
        <v>591</v>
      </c>
      <c r="E211" s="1" t="s">
        <v>592</v>
      </c>
      <c r="F211" s="1" t="s">
        <v>785</v>
      </c>
    </row>
    <row r="212">
      <c r="A212" s="1" t="s">
        <v>786</v>
      </c>
      <c r="B212" s="1" t="s">
        <v>787</v>
      </c>
      <c r="C212" s="1" t="s">
        <v>590</v>
      </c>
      <c r="D212" s="1" t="s">
        <v>591</v>
      </c>
      <c r="E212" s="1" t="s">
        <v>592</v>
      </c>
      <c r="F212" s="1" t="s">
        <v>788</v>
      </c>
    </row>
    <row r="213">
      <c r="A213" s="1" t="s">
        <v>789</v>
      </c>
      <c r="B213" s="1" t="s">
        <v>790</v>
      </c>
      <c r="C213" s="1" t="s">
        <v>590</v>
      </c>
      <c r="D213" s="1" t="s">
        <v>591</v>
      </c>
      <c r="E213" s="1" t="s">
        <v>592</v>
      </c>
      <c r="F213" s="1" t="s">
        <v>791</v>
      </c>
    </row>
    <row r="214">
      <c r="A214" s="1" t="s">
        <v>792</v>
      </c>
      <c r="B214" s="1" t="s">
        <v>793</v>
      </c>
      <c r="C214" s="1" t="s">
        <v>590</v>
      </c>
      <c r="D214" s="1" t="s">
        <v>591</v>
      </c>
      <c r="E214" s="1" t="s">
        <v>592</v>
      </c>
      <c r="F214" s="1" t="s">
        <v>794</v>
      </c>
    </row>
    <row r="215">
      <c r="A215" s="1" t="s">
        <v>795</v>
      </c>
      <c r="B215" s="1" t="s">
        <v>796</v>
      </c>
      <c r="C215" s="1" t="s">
        <v>590</v>
      </c>
      <c r="D215" s="1" t="s">
        <v>591</v>
      </c>
      <c r="E215" s="1" t="s">
        <v>592</v>
      </c>
      <c r="F215" s="1" t="s">
        <v>797</v>
      </c>
    </row>
    <row r="216">
      <c r="A216" s="1" t="s">
        <v>798</v>
      </c>
      <c r="B216" s="1" t="s">
        <v>799</v>
      </c>
      <c r="C216" s="1" t="s">
        <v>590</v>
      </c>
      <c r="D216" s="1" t="s">
        <v>591</v>
      </c>
      <c r="E216" s="1" t="s">
        <v>592</v>
      </c>
      <c r="F216" s="1" t="s">
        <v>800</v>
      </c>
    </row>
    <row r="217">
      <c r="A217" s="1" t="s">
        <v>801</v>
      </c>
      <c r="B217" s="1" t="s">
        <v>802</v>
      </c>
      <c r="C217" s="1" t="s">
        <v>590</v>
      </c>
      <c r="D217" s="1" t="s">
        <v>591</v>
      </c>
      <c r="E217" s="1" t="s">
        <v>592</v>
      </c>
      <c r="F217" s="1" t="s">
        <v>803</v>
      </c>
    </row>
    <row r="218">
      <c r="A218" s="1" t="s">
        <v>804</v>
      </c>
      <c r="B218" s="1" t="s">
        <v>805</v>
      </c>
      <c r="C218" s="1" t="s">
        <v>590</v>
      </c>
      <c r="D218" s="1" t="s">
        <v>591</v>
      </c>
      <c r="E218" s="1" t="s">
        <v>806</v>
      </c>
      <c r="F218" s="1" t="s">
        <v>807</v>
      </c>
    </row>
    <row r="219">
      <c r="A219" s="1" t="s">
        <v>808</v>
      </c>
      <c r="B219" s="1" t="s">
        <v>809</v>
      </c>
      <c r="C219" s="1" t="s">
        <v>590</v>
      </c>
      <c r="D219" s="1" t="s">
        <v>591</v>
      </c>
      <c r="E219" s="1" t="s">
        <v>592</v>
      </c>
      <c r="F219" s="1" t="s">
        <v>810</v>
      </c>
    </row>
    <row r="220">
      <c r="A220" s="1" t="s">
        <v>811</v>
      </c>
      <c r="B220" s="1" t="s">
        <v>812</v>
      </c>
      <c r="C220" s="1" t="s">
        <v>602</v>
      </c>
      <c r="D220" s="1" t="s">
        <v>591</v>
      </c>
      <c r="E220" s="1" t="s">
        <v>592</v>
      </c>
      <c r="F220" s="1" t="s">
        <v>813</v>
      </c>
    </row>
    <row r="221">
      <c r="A221" s="1" t="s">
        <v>814</v>
      </c>
      <c r="B221" s="1" t="s">
        <v>815</v>
      </c>
      <c r="C221" s="1" t="s">
        <v>590</v>
      </c>
      <c r="D221" s="1" t="s">
        <v>591</v>
      </c>
      <c r="E221" s="1" t="s">
        <v>592</v>
      </c>
      <c r="F221" s="1" t="s">
        <v>816</v>
      </c>
    </row>
    <row r="222">
      <c r="A222" s="1" t="s">
        <v>817</v>
      </c>
      <c r="B222" s="1" t="s">
        <v>818</v>
      </c>
      <c r="C222" s="1" t="s">
        <v>819</v>
      </c>
      <c r="D222" s="1" t="s">
        <v>591</v>
      </c>
      <c r="E222" s="1" t="s">
        <v>685</v>
      </c>
      <c r="F222" s="1" t="s">
        <v>820</v>
      </c>
    </row>
    <row r="223">
      <c r="A223" s="1" t="s">
        <v>821</v>
      </c>
      <c r="B223" s="1" t="s">
        <v>822</v>
      </c>
      <c r="C223" s="1" t="s">
        <v>590</v>
      </c>
      <c r="D223" s="1" t="s">
        <v>591</v>
      </c>
      <c r="E223" s="1" t="s">
        <v>592</v>
      </c>
      <c r="F223" s="1" t="s">
        <v>823</v>
      </c>
    </row>
    <row r="224">
      <c r="A224" s="1" t="s">
        <v>824</v>
      </c>
      <c r="B224" s="1" t="s">
        <v>825</v>
      </c>
      <c r="C224" s="1" t="s">
        <v>590</v>
      </c>
      <c r="D224" s="1" t="s">
        <v>591</v>
      </c>
      <c r="E224" s="1" t="s">
        <v>592</v>
      </c>
      <c r="F224" s="1" t="s">
        <v>826</v>
      </c>
    </row>
    <row r="225">
      <c r="A225" s="1" t="s">
        <v>827</v>
      </c>
      <c r="B225" s="1" t="s">
        <v>828</v>
      </c>
      <c r="C225" s="1" t="s">
        <v>590</v>
      </c>
      <c r="D225" s="1" t="s">
        <v>591</v>
      </c>
      <c r="E225" s="1" t="s">
        <v>592</v>
      </c>
      <c r="F225" s="1" t="s">
        <v>829</v>
      </c>
    </row>
    <row r="226">
      <c r="A226" s="1" t="s">
        <v>830</v>
      </c>
      <c r="B226" s="1" t="s">
        <v>831</v>
      </c>
      <c r="C226" s="1" t="s">
        <v>590</v>
      </c>
      <c r="D226" s="1" t="s">
        <v>591</v>
      </c>
      <c r="E226" s="1" t="s">
        <v>592</v>
      </c>
      <c r="F226" s="1" t="s">
        <v>832</v>
      </c>
    </row>
    <row r="227">
      <c r="A227" s="1" t="s">
        <v>833</v>
      </c>
      <c r="B227" s="1" t="s">
        <v>834</v>
      </c>
      <c r="C227" s="1" t="s">
        <v>590</v>
      </c>
      <c r="D227" s="1" t="s">
        <v>591</v>
      </c>
      <c r="E227" s="1" t="s">
        <v>592</v>
      </c>
      <c r="F227" s="1" t="s">
        <v>835</v>
      </c>
    </row>
    <row r="228">
      <c r="A228" s="1" t="s">
        <v>836</v>
      </c>
      <c r="B228" s="1" t="s">
        <v>837</v>
      </c>
      <c r="C228" s="1" t="s">
        <v>590</v>
      </c>
      <c r="D228" s="1" t="s">
        <v>591</v>
      </c>
      <c r="E228" s="1" t="s">
        <v>592</v>
      </c>
      <c r="F228" s="1" t="s">
        <v>838</v>
      </c>
    </row>
    <row r="229">
      <c r="A229" s="1" t="s">
        <v>839</v>
      </c>
      <c r="B229" s="1" t="s">
        <v>840</v>
      </c>
      <c r="C229" s="1" t="s">
        <v>590</v>
      </c>
      <c r="D229" s="1" t="s">
        <v>591</v>
      </c>
      <c r="E229" s="1" t="s">
        <v>592</v>
      </c>
      <c r="F229" s="1" t="s">
        <v>841</v>
      </c>
    </row>
    <row r="230">
      <c r="A230" s="1" t="s">
        <v>842</v>
      </c>
      <c r="B230" s="1" t="s">
        <v>843</v>
      </c>
      <c r="C230" s="1" t="s">
        <v>590</v>
      </c>
      <c r="D230" s="1" t="s">
        <v>591</v>
      </c>
      <c r="E230" s="1" t="s">
        <v>592</v>
      </c>
      <c r="F230" s="1" t="s">
        <v>844</v>
      </c>
    </row>
    <row r="231">
      <c r="A231" s="1" t="s">
        <v>845</v>
      </c>
      <c r="B231" s="1" t="s">
        <v>846</v>
      </c>
      <c r="C231" s="1" t="s">
        <v>590</v>
      </c>
      <c r="D231" s="1" t="s">
        <v>591</v>
      </c>
      <c r="E231" s="1" t="s">
        <v>592</v>
      </c>
      <c r="F231" s="1" t="s">
        <v>847</v>
      </c>
    </row>
    <row r="232">
      <c r="A232" s="1" t="s">
        <v>848</v>
      </c>
      <c r="B232" s="1" t="s">
        <v>849</v>
      </c>
      <c r="C232" s="1" t="s">
        <v>590</v>
      </c>
      <c r="D232" s="1" t="s">
        <v>591</v>
      </c>
      <c r="E232" s="1" t="s">
        <v>592</v>
      </c>
      <c r="F232" s="1" t="s">
        <v>850</v>
      </c>
    </row>
    <row r="233">
      <c r="A233" s="1" t="s">
        <v>851</v>
      </c>
      <c r="B233" s="1" t="s">
        <v>852</v>
      </c>
      <c r="C233" s="1" t="s">
        <v>590</v>
      </c>
      <c r="D233" s="1" t="s">
        <v>591</v>
      </c>
      <c r="E233" s="1" t="s">
        <v>592</v>
      </c>
      <c r="F233" s="1" t="s">
        <v>853</v>
      </c>
    </row>
    <row r="234">
      <c r="A234" s="1" t="s">
        <v>854</v>
      </c>
      <c r="B234" s="1" t="s">
        <v>855</v>
      </c>
      <c r="C234" s="1" t="s">
        <v>590</v>
      </c>
      <c r="D234" s="1" t="s">
        <v>591</v>
      </c>
      <c r="E234" s="1" t="s">
        <v>592</v>
      </c>
      <c r="F234" s="1" t="s">
        <v>856</v>
      </c>
    </row>
    <row r="235">
      <c r="A235" s="1" t="s">
        <v>857</v>
      </c>
      <c r="B235" s="1" t="s">
        <v>858</v>
      </c>
      <c r="C235" s="1" t="s">
        <v>590</v>
      </c>
      <c r="D235" s="1" t="s">
        <v>591</v>
      </c>
      <c r="E235" s="1" t="s">
        <v>592</v>
      </c>
      <c r="F235" s="1" t="s">
        <v>859</v>
      </c>
    </row>
    <row r="236">
      <c r="A236" s="1" t="s">
        <v>860</v>
      </c>
      <c r="B236" s="1" t="s">
        <v>861</v>
      </c>
      <c r="C236" s="1" t="s">
        <v>590</v>
      </c>
      <c r="D236" s="1" t="s">
        <v>591</v>
      </c>
      <c r="E236" s="1" t="s">
        <v>592</v>
      </c>
      <c r="F236" s="1" t="s">
        <v>862</v>
      </c>
    </row>
    <row r="237">
      <c r="A237" s="1" t="s">
        <v>863</v>
      </c>
      <c r="B237" s="1" t="s">
        <v>864</v>
      </c>
      <c r="C237" s="1" t="s">
        <v>590</v>
      </c>
      <c r="D237" s="1" t="s">
        <v>591</v>
      </c>
      <c r="E237" s="1" t="s">
        <v>592</v>
      </c>
      <c r="F237" s="1" t="s">
        <v>865</v>
      </c>
    </row>
    <row r="238">
      <c r="A238" s="1" t="s">
        <v>866</v>
      </c>
      <c r="B238" s="1" t="s">
        <v>867</v>
      </c>
      <c r="C238" s="1" t="s">
        <v>590</v>
      </c>
      <c r="D238" s="1" t="s">
        <v>591</v>
      </c>
      <c r="E238" s="1" t="s">
        <v>592</v>
      </c>
      <c r="F238" s="1" t="s">
        <v>868</v>
      </c>
    </row>
    <row r="239">
      <c r="A239" s="1" t="s">
        <v>869</v>
      </c>
      <c r="B239" s="1" t="s">
        <v>870</v>
      </c>
      <c r="C239" s="1" t="s">
        <v>590</v>
      </c>
      <c r="D239" s="1" t="s">
        <v>591</v>
      </c>
      <c r="E239" s="1" t="s">
        <v>592</v>
      </c>
      <c r="F239" s="1" t="s">
        <v>871</v>
      </c>
    </row>
    <row r="240">
      <c r="A240" s="1" t="s">
        <v>872</v>
      </c>
      <c r="B240" s="1" t="s">
        <v>873</v>
      </c>
      <c r="C240" s="1" t="s">
        <v>590</v>
      </c>
      <c r="D240" s="1" t="s">
        <v>591</v>
      </c>
      <c r="E240" s="1" t="s">
        <v>592</v>
      </c>
      <c r="F240" s="1" t="s">
        <v>874</v>
      </c>
    </row>
    <row r="241">
      <c r="A241" s="1" t="s">
        <v>875</v>
      </c>
      <c r="B241" s="1" t="s">
        <v>876</v>
      </c>
      <c r="C241" s="1" t="s">
        <v>590</v>
      </c>
      <c r="D241" s="1" t="s">
        <v>591</v>
      </c>
      <c r="E241" s="1" t="s">
        <v>592</v>
      </c>
      <c r="F241" s="1" t="s">
        <v>877</v>
      </c>
    </row>
    <row r="242">
      <c r="A242" s="1" t="s">
        <v>878</v>
      </c>
      <c r="B242" s="1" t="s">
        <v>879</v>
      </c>
      <c r="C242" s="1" t="s">
        <v>590</v>
      </c>
      <c r="D242" s="1" t="s">
        <v>591</v>
      </c>
      <c r="E242" s="1" t="s">
        <v>592</v>
      </c>
      <c r="F242" s="1" t="s">
        <v>880</v>
      </c>
    </row>
    <row r="243">
      <c r="A243" s="1" t="s">
        <v>881</v>
      </c>
      <c r="B243" s="1" t="s">
        <v>882</v>
      </c>
      <c r="C243" s="1" t="s">
        <v>819</v>
      </c>
      <c r="D243" s="1" t="s">
        <v>591</v>
      </c>
      <c r="E243" s="1" t="s">
        <v>685</v>
      </c>
      <c r="F243" s="1" t="s">
        <v>883</v>
      </c>
    </row>
    <row r="244">
      <c r="A244" s="1" t="s">
        <v>884</v>
      </c>
      <c r="B244" s="1" t="s">
        <v>885</v>
      </c>
      <c r="C244" s="1" t="s">
        <v>590</v>
      </c>
      <c r="D244" s="1" t="s">
        <v>591</v>
      </c>
      <c r="E244" s="1" t="s">
        <v>592</v>
      </c>
      <c r="F244" s="1" t="s">
        <v>886</v>
      </c>
    </row>
    <row r="245">
      <c r="A245" s="1" t="s">
        <v>887</v>
      </c>
      <c r="B245" s="1" t="s">
        <v>888</v>
      </c>
      <c r="C245" s="1" t="s">
        <v>590</v>
      </c>
      <c r="D245" s="1" t="s">
        <v>591</v>
      </c>
      <c r="E245" s="1" t="s">
        <v>592</v>
      </c>
      <c r="F245" s="1" t="s">
        <v>889</v>
      </c>
    </row>
    <row r="246">
      <c r="A246" s="1" t="s">
        <v>890</v>
      </c>
      <c r="B246" s="1" t="s">
        <v>891</v>
      </c>
      <c r="C246" s="1" t="s">
        <v>819</v>
      </c>
      <c r="D246" s="1" t="s">
        <v>591</v>
      </c>
      <c r="E246" s="1" t="s">
        <v>685</v>
      </c>
      <c r="F246" s="1" t="s">
        <v>892</v>
      </c>
    </row>
    <row r="247">
      <c r="A247" s="1" t="s">
        <v>893</v>
      </c>
      <c r="B247" s="1" t="s">
        <v>894</v>
      </c>
      <c r="C247" s="1" t="s">
        <v>590</v>
      </c>
      <c r="D247" s="1" t="s">
        <v>591</v>
      </c>
      <c r="E247" s="1" t="s">
        <v>592</v>
      </c>
      <c r="F247" s="1" t="s">
        <v>895</v>
      </c>
    </row>
    <row r="248">
      <c r="A248" s="1" t="s">
        <v>896</v>
      </c>
      <c r="B248" s="1" t="s">
        <v>897</v>
      </c>
      <c r="C248" s="1" t="s">
        <v>590</v>
      </c>
      <c r="D248" s="1" t="s">
        <v>591</v>
      </c>
      <c r="E248" s="1" t="s">
        <v>592</v>
      </c>
      <c r="F248" s="1" t="s">
        <v>898</v>
      </c>
    </row>
    <row r="249">
      <c r="A249" s="1" t="s">
        <v>899</v>
      </c>
      <c r="B249" s="1" t="s">
        <v>900</v>
      </c>
      <c r="C249" s="1" t="s">
        <v>590</v>
      </c>
      <c r="D249" s="1" t="s">
        <v>591</v>
      </c>
      <c r="E249" s="1" t="s">
        <v>592</v>
      </c>
      <c r="F249" s="1" t="s">
        <v>901</v>
      </c>
    </row>
    <row r="250">
      <c r="A250" s="1" t="s">
        <v>902</v>
      </c>
      <c r="B250" s="1" t="s">
        <v>903</v>
      </c>
      <c r="C250" s="1" t="s">
        <v>590</v>
      </c>
      <c r="D250" s="1" t="s">
        <v>591</v>
      </c>
      <c r="E250" s="1" t="s">
        <v>592</v>
      </c>
      <c r="F250" s="1" t="s">
        <v>904</v>
      </c>
    </row>
    <row r="251">
      <c r="A251" s="1" t="s">
        <v>905</v>
      </c>
      <c r="B251" s="1" t="s">
        <v>906</v>
      </c>
      <c r="C251" s="1" t="s">
        <v>590</v>
      </c>
      <c r="D251" s="1" t="s">
        <v>591</v>
      </c>
      <c r="E251" s="1" t="s">
        <v>592</v>
      </c>
      <c r="F251" s="1" t="s">
        <v>907</v>
      </c>
    </row>
    <row r="252">
      <c r="A252" s="1" t="s">
        <v>908</v>
      </c>
      <c r="B252" s="1" t="s">
        <v>909</v>
      </c>
      <c r="C252" s="1" t="s">
        <v>590</v>
      </c>
      <c r="D252" s="1" t="s">
        <v>591</v>
      </c>
      <c r="E252" s="1" t="s">
        <v>592</v>
      </c>
      <c r="F252" s="1" t="s">
        <v>910</v>
      </c>
    </row>
    <row r="253">
      <c r="A253" s="1" t="s">
        <v>911</v>
      </c>
      <c r="B253" s="1" t="s">
        <v>912</v>
      </c>
      <c r="C253" s="1" t="s">
        <v>590</v>
      </c>
      <c r="D253" s="1" t="s">
        <v>591</v>
      </c>
      <c r="E253" s="1" t="s">
        <v>592</v>
      </c>
      <c r="F253" s="1" t="s">
        <v>913</v>
      </c>
    </row>
    <row r="254">
      <c r="A254" s="1" t="s">
        <v>914</v>
      </c>
      <c r="B254" s="1" t="s">
        <v>915</v>
      </c>
      <c r="C254" s="1" t="s">
        <v>590</v>
      </c>
      <c r="D254" s="1" t="s">
        <v>591</v>
      </c>
      <c r="E254" s="1" t="s">
        <v>592</v>
      </c>
      <c r="F254" s="1" t="s">
        <v>916</v>
      </c>
    </row>
    <row r="255">
      <c r="A255" s="1" t="s">
        <v>917</v>
      </c>
      <c r="B255" s="1" t="s">
        <v>918</v>
      </c>
      <c r="C255" s="1" t="s">
        <v>590</v>
      </c>
      <c r="D255" s="1" t="s">
        <v>591</v>
      </c>
      <c r="E255" s="1" t="s">
        <v>592</v>
      </c>
      <c r="F255" s="1" t="s">
        <v>919</v>
      </c>
    </row>
    <row r="256">
      <c r="A256" s="1" t="s">
        <v>920</v>
      </c>
      <c r="B256" s="1" t="s">
        <v>921</v>
      </c>
      <c r="C256" s="1" t="s">
        <v>590</v>
      </c>
      <c r="D256" s="1" t="s">
        <v>591</v>
      </c>
      <c r="E256" s="1" t="s">
        <v>592</v>
      </c>
      <c r="F256" s="1" t="s">
        <v>922</v>
      </c>
    </row>
    <row r="257">
      <c r="A257" s="1" t="s">
        <v>923</v>
      </c>
      <c r="B257" s="1" t="s">
        <v>924</v>
      </c>
      <c r="C257" s="1" t="s">
        <v>590</v>
      </c>
      <c r="D257" s="1" t="s">
        <v>591</v>
      </c>
      <c r="E257" s="1" t="s">
        <v>592</v>
      </c>
      <c r="F257" s="1" t="s">
        <v>925</v>
      </c>
    </row>
    <row r="258">
      <c r="A258" s="1" t="s">
        <v>926</v>
      </c>
      <c r="B258" s="1" t="s">
        <v>927</v>
      </c>
      <c r="C258" s="1" t="s">
        <v>590</v>
      </c>
      <c r="D258" s="1" t="s">
        <v>591</v>
      </c>
      <c r="E258" s="1" t="s">
        <v>592</v>
      </c>
      <c r="F258" s="1" t="s">
        <v>928</v>
      </c>
    </row>
    <row r="259">
      <c r="A259" s="1" t="s">
        <v>929</v>
      </c>
      <c r="B259" s="1" t="s">
        <v>930</v>
      </c>
      <c r="C259" s="1" t="s">
        <v>590</v>
      </c>
      <c r="D259" s="1" t="s">
        <v>591</v>
      </c>
      <c r="E259" s="1" t="s">
        <v>592</v>
      </c>
      <c r="F259" s="1" t="s">
        <v>931</v>
      </c>
    </row>
    <row r="260">
      <c r="A260" s="1" t="s">
        <v>932</v>
      </c>
      <c r="B260" s="1" t="s">
        <v>933</v>
      </c>
      <c r="C260" s="1" t="s">
        <v>590</v>
      </c>
      <c r="D260" s="1" t="s">
        <v>591</v>
      </c>
      <c r="E260" s="1" t="s">
        <v>592</v>
      </c>
      <c r="F260" s="1" t="s">
        <v>934</v>
      </c>
    </row>
    <row r="261">
      <c r="A261" s="1" t="s">
        <v>935</v>
      </c>
      <c r="B261" s="1" t="s">
        <v>936</v>
      </c>
      <c r="C261" s="1" t="s">
        <v>590</v>
      </c>
      <c r="D261" s="1" t="s">
        <v>591</v>
      </c>
      <c r="E261" s="1" t="s">
        <v>592</v>
      </c>
      <c r="F261" s="1" t="s">
        <v>937</v>
      </c>
    </row>
    <row r="262">
      <c r="A262" s="1" t="s">
        <v>938</v>
      </c>
      <c r="B262" s="1" t="s">
        <v>939</v>
      </c>
      <c r="C262" s="1" t="s">
        <v>590</v>
      </c>
      <c r="D262" s="1" t="s">
        <v>591</v>
      </c>
      <c r="E262" s="1" t="s">
        <v>592</v>
      </c>
      <c r="F262" s="1" t="s">
        <v>940</v>
      </c>
    </row>
    <row r="263">
      <c r="A263" s="1" t="s">
        <v>941</v>
      </c>
      <c r="B263" s="1" t="s">
        <v>942</v>
      </c>
      <c r="C263" s="1" t="s">
        <v>590</v>
      </c>
      <c r="D263" s="1" t="s">
        <v>591</v>
      </c>
      <c r="E263" s="1" t="s">
        <v>592</v>
      </c>
      <c r="F263" s="1" t="s">
        <v>943</v>
      </c>
    </row>
    <row r="264">
      <c r="A264" s="1" t="s">
        <v>944</v>
      </c>
      <c r="B264" s="1" t="s">
        <v>945</v>
      </c>
      <c r="C264" s="1" t="s">
        <v>590</v>
      </c>
      <c r="D264" s="1" t="s">
        <v>591</v>
      </c>
      <c r="E264" s="1" t="s">
        <v>592</v>
      </c>
      <c r="F264" s="1" t="s">
        <v>946</v>
      </c>
    </row>
    <row r="265">
      <c r="A265" s="1" t="s">
        <v>947</v>
      </c>
      <c r="B265" s="1" t="s">
        <v>948</v>
      </c>
      <c r="C265" s="1" t="s">
        <v>590</v>
      </c>
      <c r="D265" s="1" t="s">
        <v>591</v>
      </c>
      <c r="E265" s="1" t="s">
        <v>592</v>
      </c>
      <c r="F265" s="1" t="s">
        <v>949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38"/>
    <col customWidth="1" min="2" max="2" width="14.13"/>
    <col customWidth="1" min="3" max="3" width="31.25"/>
    <col customWidth="1" min="4" max="4" width="36.5"/>
    <col customWidth="1" min="5" max="5" width="8.63"/>
    <col customWidth="1" min="6" max="6" width="11.0"/>
    <col customWidth="1" min="7" max="7" width="10.25"/>
    <col customWidth="1" min="8" max="8" width="8.5"/>
    <col customWidth="1" min="9" max="9" width="8.75"/>
    <col customWidth="1" min="10" max="10" width="8.63"/>
    <col customWidth="1" min="11" max="12" width="7.63"/>
    <col customWidth="1" min="13" max="13" width="7.13"/>
    <col customWidth="1" min="14" max="14" width="7.75"/>
    <col customWidth="1" min="15" max="15" width="8.75"/>
    <col customWidth="1" hidden="1" min="16" max="16" width="12.0"/>
    <col customWidth="1" min="17" max="17" width="9.63"/>
    <col customWidth="1" hidden="1" min="18" max="18" width="10.63"/>
    <col customWidth="1" hidden="1" min="19" max="19" width="9.75"/>
    <col customWidth="1" hidden="1" min="20" max="20" width="10.63"/>
    <col customWidth="1" min="21" max="21" width="10.88"/>
    <col customWidth="1" hidden="1" min="22" max="22" width="9.13"/>
    <col customWidth="1" hidden="1" min="23" max="23" width="10.13"/>
    <col customWidth="1" min="24" max="25" width="9.63"/>
    <col customWidth="1" min="26" max="26" width="8.75"/>
    <col customWidth="1" min="27" max="27" width="8.5"/>
    <col customWidth="1" min="28" max="28" width="8.63"/>
    <col customWidth="1" min="29" max="29" width="8.5"/>
    <col customWidth="1" min="30" max="30" width="8.13"/>
    <col customWidth="1" min="31" max="31" width="8.5"/>
    <col customWidth="1" min="32" max="32" width="10.88"/>
    <col customWidth="1" min="33" max="33" width="10.13"/>
    <col customWidth="1" min="34" max="34" width="9.25"/>
    <col customWidth="1" min="35" max="35" width="10.5"/>
    <col customWidth="1" min="36" max="36" width="10.63"/>
    <col customWidth="1" min="37" max="37" width="11.25"/>
    <col customWidth="1" min="38" max="38" width="11.75"/>
    <col customWidth="1" min="39" max="39" width="11.63"/>
    <col hidden="1" min="41" max="41" width="12.63"/>
    <col customWidth="1" hidden="1" min="42" max="42" width="16.75"/>
    <col customWidth="1" hidden="1" min="43" max="43" width="16.88"/>
    <col customWidth="1" hidden="1" min="44" max="44" width="23.63"/>
    <col customWidth="1" hidden="1" min="45" max="45" width="13.88"/>
    <col customWidth="1" hidden="1" min="46" max="46" width="15.25"/>
    <col customWidth="1" hidden="1" min="47" max="47" width="25.88"/>
    <col customWidth="1" hidden="1" min="48" max="48" width="24.75"/>
    <col hidden="1" min="50" max="50" width="12.63"/>
  </cols>
  <sheetData>
    <row r="1">
      <c r="A1" s="1" t="str">
        <f>IFERROR(__xludf.DUMMYFUNCTION("IMPORTRANGE(""https://docs.google.com/spreadsheets/d/1ydldddTNp7Nv94tmiB0MtUc-p1wZiYwC4QK7YXviwq0/edit?pli=1&amp;gid=614016061#gid=614016061"", ""Sec17!A1:AX47"")"),"")</f>
        <v/>
      </c>
      <c r="B1" s="2" t="str">
        <f>IFERROR(__xludf.DUMMYFUNCTION("""COMPUTED_VALUE"""),"Semester: SPRING 2026")</f>
        <v>Semester: SPRING 2026</v>
      </c>
      <c r="C1" s="2"/>
      <c r="D1" s="3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2" t="str">
        <f>IFERROR(__xludf.DUMMYFUNCTION("""COMPUTED_VALUE"""),"Course Code: CSE111")</f>
        <v>Course Code: CSE111</v>
      </c>
      <c r="C2" s="2"/>
      <c r="D2" s="3"/>
      <c r="E2" s="2" t="str">
        <f>IFERROR(__xludf.DUMMYFUNCTION("""COMPUTED_VALUE"""),"Marks have been taken
please email if there is any change")</f>
        <v>Marks have been taken
please email if there is any change</v>
      </c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1"/>
      <c r="B3" s="2" t="str">
        <f>IFERROR(__xludf.DUMMYFUNCTION("""COMPUTED_VALUE"""),"Section: 17")</f>
        <v>Section: 17</v>
      </c>
      <c r="C3" s="2" t="str">
        <f>IFERROR(__xludf.DUMMYFUNCTION("""COMPUTED_VALUE"""),"Lab Day: TUE 2:00 PM")</f>
        <v>Lab Day: TUE 2:00 PM</v>
      </c>
      <c r="D3" s="3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/>
      <c r="B4" s="2" t="str">
        <f>IFERROR(__xludf.DUMMYFUNCTION("""COMPUTED_VALUE"""),"Theory Faculty: QUZA [quazi.ashikur@bracu.ac.bd]")</f>
        <v>Theory Faculty: QUZA [quazi.ashikur@bracu.ac.bd]</v>
      </c>
      <c r="C4" s="2"/>
      <c r="D4" s="3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/>
      <c r="B5" s="2" t="str">
        <f>IFERROR(__xludf.DUMMYFUNCTION("""COMPUTED_VALUE"""),"Lab Faculty: KNI,YND   Emails: nazia.iqbal@bracu.ac.bd,yasmin.nadia@bracu.ac.bd")</f>
        <v>Lab Faculty: KNI,YND   Emails: nazia.iqbal@bracu.ac.bd,yasmin.nadia@bracu.ac.bd</v>
      </c>
      <c r="C5" s="2"/>
      <c r="D5" s="3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4"/>
      <c r="B6" s="5"/>
      <c r="C6" s="5"/>
      <c r="D6" s="6"/>
      <c r="E6" s="5"/>
      <c r="F6" s="5"/>
      <c r="G6" s="5"/>
      <c r="H6" s="7" t="str">
        <f>IFERROR(__xludf.DUMMYFUNCTION("""COMPUTED_VALUE"""),"Attendance [ 1 = present, 0 = absent, S = sick/considered ]")</f>
        <v>Attendance [ 1 = present, 0 = absent, S = sick/considered ]</v>
      </c>
      <c r="I6" s="8"/>
      <c r="J6" s="8"/>
      <c r="K6" s="8"/>
      <c r="L6" s="8"/>
      <c r="M6" s="8"/>
      <c r="N6" s="8"/>
      <c r="O6" s="9"/>
      <c r="P6" s="10" t="str">
        <f>IFERROR(__xludf.DUMMYFUNCTION("""COMPUTED_VALUE"""),"Lab Evaluation (5)")</f>
        <v>Lab Evaluation (5)</v>
      </c>
      <c r="Q6" s="8"/>
      <c r="R6" s="8"/>
      <c r="S6" s="8"/>
      <c r="T6" s="8"/>
      <c r="U6" s="8"/>
      <c r="V6" s="8"/>
      <c r="W6" s="9"/>
      <c r="X6" s="11" t="str">
        <f>IFERROR(__xludf.DUMMYFUNCTION("""COMPUTED_VALUE"""),"Lab Assignment (5)")</f>
        <v>Lab Assignment (5)</v>
      </c>
      <c r="Y6" s="12"/>
      <c r="Z6" s="12"/>
      <c r="AA6" s="12"/>
      <c r="AB6" s="12"/>
      <c r="AC6" s="12"/>
      <c r="AD6" s="12"/>
      <c r="AE6" s="13"/>
      <c r="AF6" s="14" t="str">
        <f>IFERROR(__xludf.DUMMYFUNCTION("""COMPUTED_VALUE"""),"Lab Exams (10) [P = Plagiarism]")</f>
        <v>Lab Exams (10) [P = Plagiarism]</v>
      </c>
      <c r="AG6" s="15"/>
      <c r="AH6" s="15"/>
      <c r="AI6" s="16"/>
      <c r="AJ6" s="17"/>
      <c r="AK6" s="8"/>
      <c r="AL6" s="8"/>
      <c r="AM6" s="8"/>
      <c r="AN6" s="8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44.25" customHeight="1">
      <c r="A7" s="18" t="str">
        <f>IFERROR(__xludf.DUMMYFUNCTION("""COMPUTED_VALUE"""),"SL")</f>
        <v>SL</v>
      </c>
      <c r="B7" s="18" t="str">
        <f>IFERROR(__xludf.DUMMYFUNCTION("""COMPUTED_VALUE"""),"ID")</f>
        <v>ID</v>
      </c>
      <c r="C7" s="19" t="str">
        <f>IFERROR(__xludf.DUMMYFUNCTION("""COMPUTED_VALUE"""),"Name")</f>
        <v>Name</v>
      </c>
      <c r="D7" s="19" t="str">
        <f>IFERROR(__xludf.DUMMYFUNCTION("""COMPUTED_VALUE"""),"GSUITE")</f>
        <v>GSUITE</v>
      </c>
      <c r="E7" s="20" t="str">
        <f>IFERROR(__xludf.DUMMYFUNCTION("""COMPUTED_VALUE"""),"Lab Policy Signed?")</f>
        <v>Lab Policy Signed?</v>
      </c>
      <c r="F7" s="21" t="str">
        <f>IFERROR(__xludf.DUMMYFUNCTION("""COMPUTED_VALUE"""),"Absent Count")</f>
        <v>Absent Count</v>
      </c>
      <c r="G7" s="22" t="str">
        <f>IFERROR(__xludf.DUMMYFUNCTION("""COMPUTED_VALUE"""),"Final Exam Eligibility")</f>
        <v>Final Exam Eligibility</v>
      </c>
      <c r="H7" s="23" t="str">
        <f>IFERROR(__xludf.DUMMYFUNCTION("""COMPUTED_VALUE"""),"LAB 1")</f>
        <v>LAB 1</v>
      </c>
      <c r="I7" s="24" t="str">
        <f>IFERROR(__xludf.DUMMYFUNCTION("""COMPUTED_VALUE"""),"LAB 2")</f>
        <v>LAB 2</v>
      </c>
      <c r="J7" s="24" t="str">
        <f>IFERROR(__xludf.DUMMYFUNCTION("""COMPUTED_VALUE"""),"LAB 3")</f>
        <v>LAB 3</v>
      </c>
      <c r="K7" s="24" t="str">
        <f>IFERROR(__xludf.DUMMYFUNCTION("""COMPUTED_VALUE"""),"LAB 4")</f>
        <v>LAB 4</v>
      </c>
      <c r="L7" s="25" t="str">
        <f>IFERROR(__xludf.DUMMYFUNCTION("""COMPUTED_VALUE"""),"LAB 5")</f>
        <v>LAB 5</v>
      </c>
      <c r="M7" s="25" t="str">
        <f>IFERROR(__xludf.DUMMYFUNCTION("""COMPUTED_VALUE"""),"LAB 6")</f>
        <v>LAB 6</v>
      </c>
      <c r="N7" s="25" t="str">
        <f>IFERROR(__xludf.DUMMYFUNCTION("""COMPUTED_VALUE"""),"LAB 7")</f>
        <v>LAB 7</v>
      </c>
      <c r="O7" s="26" t="str">
        <f>IFERROR(__xludf.DUMMYFUNCTION("""COMPUTED_VALUE"""),"LAB 8")</f>
        <v>LAB 8</v>
      </c>
      <c r="P7" s="27" t="str">
        <f>IFERROR(__xludf.DUMMYFUNCTION("""COMPUTED_VALUE"""),"LAB 1")</f>
        <v>LAB 1</v>
      </c>
      <c r="Q7" s="28" t="str">
        <f>IFERROR(__xludf.DUMMYFUNCTION("""COMPUTED_VALUE"""),"LAB 2")</f>
        <v>LAB 2</v>
      </c>
      <c r="R7" s="29" t="str">
        <f>IFERROR(__xludf.DUMMYFUNCTION("""COMPUTED_VALUE"""),"LAB 3")</f>
        <v>LAB 3</v>
      </c>
      <c r="S7" s="30" t="str">
        <f>IFERROR(__xludf.DUMMYFUNCTION("""COMPUTED_VALUE"""),"LAB 4")</f>
        <v>LAB 4</v>
      </c>
      <c r="T7" s="31" t="str">
        <f>IFERROR(__xludf.DUMMYFUNCTION("""COMPUTED_VALUE"""),"LAB 5")</f>
        <v>LAB 5</v>
      </c>
      <c r="U7" s="31" t="str">
        <f>IFERROR(__xludf.DUMMYFUNCTION("""COMPUTED_VALUE"""),"LAB 6")</f>
        <v>LAB 6</v>
      </c>
      <c r="V7" s="31" t="str">
        <f>IFERROR(__xludf.DUMMYFUNCTION("""COMPUTED_VALUE"""),"LAB 7")</f>
        <v>LAB 7</v>
      </c>
      <c r="W7" s="32" t="str">
        <f>IFERROR(__xludf.DUMMYFUNCTION("""COMPUTED_VALUE"""),"LAB 8")</f>
        <v>LAB 8</v>
      </c>
      <c r="X7" s="33" t="str">
        <f>IFERROR(__xludf.DUMMYFUNCTION("""COMPUTED_VALUE"""),"A1")</f>
        <v>A1</v>
      </c>
      <c r="Y7" s="34" t="str">
        <f>IFERROR(__xludf.DUMMYFUNCTION("""COMPUTED_VALUE"""),"A2")</f>
        <v>A2</v>
      </c>
      <c r="Z7" s="34" t="str">
        <f>IFERROR(__xludf.DUMMYFUNCTION("""COMPUTED_VALUE"""),"A3")</f>
        <v>A3</v>
      </c>
      <c r="AA7" s="34" t="str">
        <f>IFERROR(__xludf.DUMMYFUNCTION("""COMPUTED_VALUE"""),"A4")</f>
        <v>A4</v>
      </c>
      <c r="AB7" s="34" t="str">
        <f>IFERROR(__xludf.DUMMYFUNCTION("""COMPUTED_VALUE"""),"A5")</f>
        <v>A5</v>
      </c>
      <c r="AC7" s="35" t="str">
        <f>IFERROR(__xludf.DUMMYFUNCTION("""COMPUTED_VALUE"""),"A6")</f>
        <v>A6</v>
      </c>
      <c r="AD7" s="36" t="str">
        <f>IFERROR(__xludf.DUMMYFUNCTION("""COMPUTED_VALUE"""),"A7")</f>
        <v>A7</v>
      </c>
      <c r="AE7" s="37" t="str">
        <f>IFERROR(__xludf.DUMMYFUNCTION("""COMPUTED_VALUE"""),"A8")</f>
        <v>A8</v>
      </c>
      <c r="AF7" s="38" t="str">
        <f>IFERROR(__xludf.DUMMYFUNCTION("""COMPUTED_VALUE"""),"Exam#1")</f>
        <v>Exam#1</v>
      </c>
      <c r="AG7" s="38" t="str">
        <f>IFERROR(__xludf.DUMMYFUNCTION("""COMPUTED_VALUE"""),"Exam#2")</f>
        <v>Exam#2</v>
      </c>
      <c r="AH7" s="39" t="str">
        <f>IFERROR(__xludf.DUMMYFUNCTION("""COMPUTED_VALUE"""),"Exam#3")</f>
        <v>Exam#3</v>
      </c>
      <c r="AI7" s="40" t="str">
        <f>IFERROR(__xludf.DUMMYFUNCTION("""COMPUTED_VALUE"""),"Exam#4")</f>
        <v>Exam#4</v>
      </c>
      <c r="AJ7" s="41" t="str">
        <f>IFERROR(__xludf.DUMMYFUNCTION("""COMPUTED_VALUE"""),"Plagiarism ")</f>
        <v>Plagiarism </v>
      </c>
      <c r="AK7" s="42" t="str">
        <f>IFERROR(__xludf.DUMMYFUNCTION("""COMPUTED_VALUE"""),"Lab Exam (N-1)")</f>
        <v>Lab Exam (N-1)</v>
      </c>
      <c r="AL7" s="42" t="str">
        <f>IFERROR(__xludf.DUMMYFUNCTION("""COMPUTED_VALUE"""),"Lab Performance (Avg)")</f>
        <v>Lab Performance (Avg)</v>
      </c>
      <c r="AM7" s="43" t="str">
        <f>IFERROR(__xludf.DUMMYFUNCTION("""COMPUTED_VALUE"""),"Assignment
(Avg)")</f>
        <v>Assignment
(Avg)</v>
      </c>
      <c r="AN7" s="44" t="str">
        <f>IFERROR(__xludf.DUMMYFUNCTION("""COMPUTED_VALUE"""),"Lab Marks")</f>
        <v>Lab Marks</v>
      </c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</row>
    <row r="8" ht="23.25" customHeight="1">
      <c r="A8" s="46"/>
      <c r="B8" s="47"/>
      <c r="C8" s="48"/>
      <c r="D8" s="48"/>
      <c r="E8" s="49"/>
      <c r="F8" s="50"/>
      <c r="G8" s="48"/>
      <c r="H8" s="51">
        <f>IFERROR(__xludf.DUMMYFUNCTION("""COMPUTED_VALUE"""),46070.0)</f>
        <v>46070</v>
      </c>
      <c r="I8" s="52">
        <f>IFERROR(__xludf.DUMMYFUNCTION("""COMPUTED_VALUE"""),46077.0)</f>
        <v>46077</v>
      </c>
      <c r="J8" s="52">
        <f>IFERROR(__xludf.DUMMYFUNCTION("""COMPUTED_VALUE"""),46084.0)</f>
        <v>46084</v>
      </c>
      <c r="K8" s="51">
        <f>IFERROR(__xludf.DUMMYFUNCTION("""COMPUTED_VALUE"""),46091.0)</f>
        <v>46091</v>
      </c>
      <c r="L8" s="53">
        <f>IFERROR(__xludf.DUMMYFUNCTION("""COMPUTED_VALUE"""),46126.0)</f>
        <v>46126</v>
      </c>
      <c r="M8" s="53">
        <f>IFERROR(__xludf.DUMMYFUNCTION("""COMPUTED_VALUE"""),46133.0)</f>
        <v>46133</v>
      </c>
      <c r="N8" s="53">
        <f>IFERROR(__xludf.DUMMYFUNCTION("""COMPUTED_VALUE"""),46140.0)</f>
        <v>46140</v>
      </c>
      <c r="O8" s="54">
        <f>IFERROR(__xludf.DUMMYFUNCTION("""COMPUTED_VALUE"""),46147.0)</f>
        <v>46147</v>
      </c>
      <c r="P8" s="55">
        <f>IFERROR(__xludf.DUMMYFUNCTION("""COMPUTED_VALUE"""),46070.0)</f>
        <v>46070</v>
      </c>
      <c r="Q8" s="56">
        <f>IFERROR(__xludf.DUMMYFUNCTION("""COMPUTED_VALUE"""),46077.0)</f>
        <v>46077</v>
      </c>
      <c r="R8" s="57">
        <f>IFERROR(__xludf.DUMMYFUNCTION("""COMPUTED_VALUE"""),46084.0)</f>
        <v>46084</v>
      </c>
      <c r="S8" s="58">
        <f>IFERROR(__xludf.DUMMYFUNCTION("""COMPUTED_VALUE"""),46091.0)</f>
        <v>46091</v>
      </c>
      <c r="T8" s="59">
        <f>IFERROR(__xludf.DUMMYFUNCTION("""COMPUTED_VALUE"""),46126.0)</f>
        <v>46126</v>
      </c>
      <c r="U8" s="60">
        <f>IFERROR(__xludf.DUMMYFUNCTION("""COMPUTED_VALUE"""),46133.0)</f>
        <v>46133</v>
      </c>
      <c r="V8" s="61">
        <f>IFERROR(__xludf.DUMMYFUNCTION("""COMPUTED_VALUE"""),46140.0)</f>
        <v>46140</v>
      </c>
      <c r="W8" s="61">
        <f>IFERROR(__xludf.DUMMYFUNCTION("""COMPUTED_VALUE"""),46147.0)</f>
        <v>46147</v>
      </c>
      <c r="X8" s="62"/>
      <c r="Y8" s="62"/>
      <c r="Z8" s="62"/>
      <c r="AA8" s="62"/>
      <c r="AB8" s="63"/>
      <c r="AC8" s="64"/>
      <c r="AD8" s="65"/>
      <c r="AE8" s="66"/>
      <c r="AF8" s="67">
        <f>IFERROR(__xludf.DUMMYFUNCTION("""COMPUTED_VALUE"""),46084.0)</f>
        <v>46084</v>
      </c>
      <c r="AG8" s="68">
        <f>IFERROR(__xludf.DUMMYFUNCTION("""COMPUTED_VALUE"""),46133.0)</f>
        <v>46133</v>
      </c>
      <c r="AH8" s="69">
        <f>IFERROR(__xludf.DUMMYFUNCTION("""COMPUTED_VALUE"""),46140.0)</f>
        <v>46140</v>
      </c>
      <c r="AI8" s="70">
        <f>IFERROR(__xludf.DUMMYFUNCTION("""COMPUTED_VALUE"""),46147.0)</f>
        <v>46147</v>
      </c>
      <c r="AJ8" s="71"/>
      <c r="AK8" s="72">
        <f>IFERROR(__xludf.DUMMYFUNCTION("""COMPUTED_VALUE"""),20.0)</f>
        <v>20</v>
      </c>
      <c r="AL8" s="72">
        <f>IFERROR(__xludf.DUMMYFUNCTION("""COMPUTED_VALUE"""),3.0)</f>
        <v>3</v>
      </c>
      <c r="AM8" s="73">
        <f>IFERROR(__xludf.DUMMYFUNCTION("""COMPUTED_VALUE"""),2.0)</f>
        <v>2</v>
      </c>
      <c r="AN8" s="74">
        <f>IFERROR(__xludf.DUMMYFUNCTION("""COMPUTED_VALUE"""),25.0)</f>
        <v>25</v>
      </c>
      <c r="AO8" s="75"/>
      <c r="AP8" s="75"/>
      <c r="AQ8" s="8"/>
      <c r="AR8" s="9"/>
      <c r="AS8" s="76"/>
      <c r="AT8" s="75"/>
      <c r="AU8" s="8"/>
      <c r="AV8" s="9"/>
      <c r="AW8" s="77"/>
      <c r="AX8" s="77" t="str">
        <f>IFERROR(__xludf.DUMMYFUNCTION("""COMPUTED_VALUE"""),"Eval Count")</f>
        <v>Eval Count</v>
      </c>
      <c r="AY8" s="77"/>
      <c r="AZ8" s="77"/>
      <c r="BA8" s="77"/>
      <c r="BB8" s="77"/>
      <c r="BC8" s="77"/>
    </row>
    <row r="9">
      <c r="A9" s="78">
        <f>IFERROR(__xludf.DUMMYFUNCTION("""COMPUTED_VALUE"""),1.0)</f>
        <v>1</v>
      </c>
      <c r="B9" s="78" t="str">
        <f>IFERROR(__xludf.DUMMYFUNCTION("""COMPUTED_VALUE"""),"1000054068")</f>
        <v>1000054068</v>
      </c>
      <c r="C9" s="79" t="str">
        <f>IFERROR(__xludf.DUMMYFUNCTION("""COMPUTED_VALUE"""),"Md Atif Aziz")</f>
        <v>Md Atif Aziz</v>
      </c>
      <c r="D9" s="80" t="str">
        <f>IFERROR(__xludf.DUMMYFUNCTION("""COMPUTED_VALUE"""),"md.atif.aziz@g.bracu.ac.bd")</f>
        <v>md.atif.aziz@g.bracu.ac.bd</v>
      </c>
      <c r="E9" s="81" t="b">
        <f>IFERROR(__xludf.DUMMYFUNCTION("""COMPUTED_VALUE"""),TRUE)</f>
        <v>1</v>
      </c>
      <c r="F9" s="82">
        <f>IFERROR(__xludf.DUMMYFUNCTION("""COMPUTED_VALUE"""),1.0)</f>
        <v>1</v>
      </c>
      <c r="G9" s="83" t="str">
        <f>IFERROR(__xludf.DUMMYFUNCTION("""COMPUTED_VALUE"""),"WARNING")</f>
        <v>WARNING</v>
      </c>
      <c r="H9" s="82">
        <f>IFERROR(__xludf.DUMMYFUNCTION("""COMPUTED_VALUE"""),1.0)</f>
        <v>1</v>
      </c>
      <c r="I9" s="84">
        <f>IFERROR(__xludf.DUMMYFUNCTION("""COMPUTED_VALUE"""),1.0)</f>
        <v>1</v>
      </c>
      <c r="J9" s="84">
        <f>IFERROR(__xludf.DUMMYFUNCTION("""COMPUTED_VALUE"""),1.0)</f>
        <v>1</v>
      </c>
      <c r="K9" s="84">
        <f>IFERROR(__xludf.DUMMYFUNCTION("""COMPUTED_VALUE"""),1.0)</f>
        <v>1</v>
      </c>
      <c r="L9" s="84">
        <f>IFERROR(__xludf.DUMMYFUNCTION("""COMPUTED_VALUE"""),0.0)</f>
        <v>0</v>
      </c>
      <c r="M9" s="84">
        <f>IFERROR(__xludf.DUMMYFUNCTION("""COMPUTED_VALUE"""),1.0)</f>
        <v>1</v>
      </c>
      <c r="N9" s="84">
        <f>IFERROR(__xludf.DUMMYFUNCTION("""COMPUTED_VALUE"""),1.0)</f>
        <v>1</v>
      </c>
      <c r="O9" s="83">
        <f>IFERROR(__xludf.DUMMYFUNCTION("""COMPUTED_VALUE"""),1.0)</f>
        <v>1</v>
      </c>
      <c r="P9" s="85"/>
      <c r="Q9" s="86">
        <f>IFERROR(__xludf.DUMMYFUNCTION("""COMPUTED_VALUE"""),4.0)</f>
        <v>4</v>
      </c>
      <c r="R9" s="87"/>
      <c r="S9" s="85"/>
      <c r="T9" s="84"/>
      <c r="U9" s="83">
        <f>IFERROR(__xludf.DUMMYFUNCTION("""COMPUTED_VALUE"""),2.0)</f>
        <v>2</v>
      </c>
      <c r="V9" s="85"/>
      <c r="W9" s="83"/>
      <c r="X9" s="85">
        <f>IFERROR(__xludf.DUMMYFUNCTION("""COMPUTED_VALUE"""),4.8)</f>
        <v>4.8</v>
      </c>
      <c r="Y9" s="84">
        <f>IFERROR(__xludf.DUMMYFUNCTION("""COMPUTED_VALUE"""),3.33)</f>
        <v>3.33</v>
      </c>
      <c r="Z9" s="84">
        <f>IFERROR(__xludf.DUMMYFUNCTION("""COMPUTED_VALUE"""),3.33)</f>
        <v>3.33</v>
      </c>
      <c r="AA9" s="84">
        <f>IFERROR(__xludf.DUMMYFUNCTION("""COMPUTED_VALUE"""),0.0)</f>
        <v>0</v>
      </c>
      <c r="AB9" s="88">
        <f>IFERROR(__xludf.DUMMYFUNCTION("""COMPUTED_VALUE"""),2.85)</f>
        <v>2.85</v>
      </c>
      <c r="AC9" s="88">
        <f>IFERROR(__xludf.DUMMYFUNCTION("""COMPUTED_VALUE"""),4.17)</f>
        <v>4.17</v>
      </c>
      <c r="AD9" s="87">
        <f>IFERROR(__xludf.DUMMYFUNCTION("""COMPUTED_VALUE"""),0.0)</f>
        <v>0</v>
      </c>
      <c r="AE9" s="89">
        <f>IFERROR(__xludf.DUMMYFUNCTION("""COMPUTED_VALUE"""),3.3)</f>
        <v>3.3</v>
      </c>
      <c r="AF9" s="90">
        <f>IFERROR(__xludf.DUMMYFUNCTION("""COMPUTED_VALUE"""),5.5)</f>
        <v>5.5</v>
      </c>
      <c r="AG9" s="87">
        <f>IFERROR(__xludf.DUMMYFUNCTION("""COMPUTED_VALUE"""),4.0)</f>
        <v>4</v>
      </c>
      <c r="AH9" s="87">
        <f>IFERROR(__xludf.DUMMYFUNCTION("""COMPUTED_VALUE"""),7.5)</f>
        <v>7.5</v>
      </c>
      <c r="AI9" s="91">
        <f>IFERROR(__xludf.DUMMYFUNCTION("""COMPUTED_VALUE"""),3.0)</f>
        <v>3</v>
      </c>
      <c r="AJ9" s="92">
        <f>IFERROR(__xludf.DUMMYFUNCTION("""COMPUTED_VALUE"""),0.0)</f>
        <v>0</v>
      </c>
      <c r="AK9" s="84">
        <f>IFERROR(__xludf.DUMMYFUNCTION("""COMPUTED_VALUE"""),11.334)</f>
        <v>11.334</v>
      </c>
      <c r="AL9" s="84">
        <f>IFERROR(__xludf.DUMMYFUNCTION("""COMPUTED_VALUE"""),1.8)</f>
        <v>1.8</v>
      </c>
      <c r="AM9" s="88">
        <f>IFERROR(__xludf.DUMMYFUNCTION("""COMPUTED_VALUE"""),1.089)</f>
        <v>1.089</v>
      </c>
      <c r="AN9" s="93">
        <f>IFERROR(__xludf.DUMMYFUNCTION("""COMPUTED_VALUE"""),14.25)</f>
        <v>14.25</v>
      </c>
      <c r="AO9" s="1"/>
      <c r="AP9" s="1"/>
      <c r="AQ9" s="1" t="str">
        <f>IFERROR(__xludf.DUMMYFUNCTION("""COMPUTED_VALUE"""),"1000054126")</f>
        <v>1000054126</v>
      </c>
      <c r="AR9" s="1" t="str">
        <f>IFERROR(__xludf.DUMMYFUNCTION("""COMPUTED_VALUE"""),"Md Mumtahin Islam Enan")</f>
        <v>Md Mumtahin Islam Enan</v>
      </c>
      <c r="AS9" s="1" t="str">
        <f>IFERROR(__xludf.DUMMYFUNCTION("""COMPUTED_VALUE"""),"mumtahin.islam@g.bracu.ac.bd")</f>
        <v>mumtahin.islam@g.bracu.ac.bd</v>
      </c>
      <c r="AT9" s="1"/>
      <c r="AU9" s="1" t="str">
        <f>IFERROR(__xludf.DUMMYFUNCTION("""COMPUTED_VALUE"""),"No one failed due to Plagiarism")</f>
        <v>No one failed due to Plagiarism</v>
      </c>
      <c r="AV9" s="1"/>
      <c r="AW9" s="1"/>
      <c r="AX9" s="1">
        <f>IFERROR(__xludf.DUMMYFUNCTION("""COMPUTED_VALUE"""),2.0)</f>
        <v>2</v>
      </c>
    </row>
    <row r="10">
      <c r="A10" s="78">
        <f>IFERROR(__xludf.DUMMYFUNCTION("""COMPUTED_VALUE"""),2.0)</f>
        <v>2</v>
      </c>
      <c r="B10" s="78" t="str">
        <f>IFERROR(__xludf.DUMMYFUNCTION("""COMPUTED_VALUE"""),"1000054126")</f>
        <v>1000054126</v>
      </c>
      <c r="C10" s="79" t="str">
        <f>IFERROR(__xludf.DUMMYFUNCTION("""COMPUTED_VALUE"""),"Md Mumtahin Islam Enan")</f>
        <v>Md Mumtahin Islam Enan</v>
      </c>
      <c r="D10" s="80" t="str">
        <f>IFERROR(__xludf.DUMMYFUNCTION("""COMPUTED_VALUE"""),"mumtahin.islam@g.bracu.ac.bd")</f>
        <v>mumtahin.islam@g.bracu.ac.bd</v>
      </c>
      <c r="E10" s="94" t="b">
        <f>IFERROR(__xludf.DUMMYFUNCTION("""COMPUTED_VALUE"""),TRUE)</f>
        <v>1</v>
      </c>
      <c r="F10" s="95">
        <f>IFERROR(__xludf.DUMMYFUNCTION("""COMPUTED_VALUE"""),3.0)</f>
        <v>3</v>
      </c>
      <c r="G10" s="96" t="str">
        <f>IFERROR(__xludf.DUMMYFUNCTION("""COMPUTED_VALUE"""),"BARRED")</f>
        <v>BARRED</v>
      </c>
      <c r="H10" s="95">
        <f>IFERROR(__xludf.DUMMYFUNCTION("""COMPUTED_VALUE"""),1.0)</f>
        <v>1</v>
      </c>
      <c r="I10" s="78">
        <f>IFERROR(__xludf.DUMMYFUNCTION("""COMPUTED_VALUE"""),1.0)</f>
        <v>1</v>
      </c>
      <c r="J10" s="78" t="str">
        <f>IFERROR(__xludf.DUMMYFUNCTION("""COMPUTED_VALUE"""),"S")</f>
        <v>S</v>
      </c>
      <c r="K10" s="78">
        <f>IFERROR(__xludf.DUMMYFUNCTION("""COMPUTED_VALUE"""),1.0)</f>
        <v>1</v>
      </c>
      <c r="L10" s="78">
        <f>IFERROR(__xludf.DUMMYFUNCTION("""COMPUTED_VALUE"""),0.0)</f>
        <v>0</v>
      </c>
      <c r="M10" s="78">
        <f>IFERROR(__xludf.DUMMYFUNCTION("""COMPUTED_VALUE"""),1.0)</f>
        <v>1</v>
      </c>
      <c r="N10" s="78">
        <f>IFERROR(__xludf.DUMMYFUNCTION("""COMPUTED_VALUE"""),0.0)</f>
        <v>0</v>
      </c>
      <c r="O10" s="96">
        <f>IFERROR(__xludf.DUMMYFUNCTION("""COMPUTED_VALUE"""),0.0)</f>
        <v>0</v>
      </c>
      <c r="P10" s="97"/>
      <c r="Q10" s="98">
        <f>IFERROR(__xludf.DUMMYFUNCTION("""COMPUTED_VALUE"""),4.0)</f>
        <v>4</v>
      </c>
      <c r="R10" s="78"/>
      <c r="S10" s="97"/>
      <c r="T10" s="78"/>
      <c r="U10" s="96"/>
      <c r="V10" s="97"/>
      <c r="W10" s="96"/>
      <c r="X10" s="97">
        <f>IFERROR(__xludf.DUMMYFUNCTION("""COMPUTED_VALUE"""),0.8)</f>
        <v>0.8</v>
      </c>
      <c r="Y10" s="78">
        <f>IFERROR(__xludf.DUMMYFUNCTION("""COMPUTED_VALUE"""),0.0)</f>
        <v>0</v>
      </c>
      <c r="Z10" s="78">
        <f>IFERROR(__xludf.DUMMYFUNCTION("""COMPUTED_VALUE"""),0.0)</f>
        <v>0</v>
      </c>
      <c r="AA10" s="78">
        <f>IFERROR(__xludf.DUMMYFUNCTION("""COMPUTED_VALUE"""),0.0)</f>
        <v>0</v>
      </c>
      <c r="AB10" s="98"/>
      <c r="AC10" s="98">
        <f>IFERROR(__xludf.DUMMYFUNCTION("""COMPUTED_VALUE"""),0.0)</f>
        <v>0</v>
      </c>
      <c r="AD10" s="78">
        <f>IFERROR(__xludf.DUMMYFUNCTION("""COMPUTED_VALUE"""),0.0)</f>
        <v>0</v>
      </c>
      <c r="AE10" s="99"/>
      <c r="AF10" s="97"/>
      <c r="AG10" s="78"/>
      <c r="AH10" s="78"/>
      <c r="AI10" s="100"/>
      <c r="AJ10" s="101">
        <f>IFERROR(__xludf.DUMMYFUNCTION("""COMPUTED_VALUE"""),0.0)</f>
        <v>0</v>
      </c>
      <c r="AK10" s="78">
        <f>IFERROR(__xludf.DUMMYFUNCTION("""COMPUTED_VALUE"""),0.0)</f>
        <v>0</v>
      </c>
      <c r="AL10" s="78">
        <f>IFERROR(__xludf.DUMMYFUNCTION("""COMPUTED_VALUE"""),1.2)</f>
        <v>1.2</v>
      </c>
      <c r="AM10" s="98">
        <f>IFERROR(__xludf.DUMMYFUNCTION("""COMPUTED_VALUE"""),0.04)</f>
        <v>0.04</v>
      </c>
      <c r="AN10" s="98">
        <f>IFERROR(__xludf.DUMMYFUNCTION("""COMPUTED_VALUE"""),0.0)</f>
        <v>0</v>
      </c>
      <c r="AO10" s="1"/>
      <c r="AP10" s="1"/>
      <c r="AQ10" s="1" t="str">
        <f>IFERROR(__xludf.DUMMYFUNCTION("""COMPUTED_VALUE"""),"1000054169")</f>
        <v>1000054169</v>
      </c>
      <c r="AR10" s="1" t="str">
        <f>IFERROR(__xludf.DUMMYFUNCTION("""COMPUTED_VALUE"""),"Sharah Mehzabin")</f>
        <v>Sharah Mehzabin</v>
      </c>
      <c r="AS10" s="1" t="str">
        <f>IFERROR(__xludf.DUMMYFUNCTION("""COMPUTED_VALUE"""),"sharah.mehzabin@g.bracu.ac.bd")</f>
        <v>sharah.mehzabin@g.bracu.ac.bd</v>
      </c>
      <c r="AT10" s="1"/>
      <c r="AU10" s="1"/>
      <c r="AV10" s="1"/>
      <c r="AW10" s="1"/>
      <c r="AX10" s="1">
        <f>IFERROR(__xludf.DUMMYFUNCTION("""COMPUTED_VALUE"""),1.0)</f>
        <v>1</v>
      </c>
    </row>
    <row r="11">
      <c r="A11" s="78">
        <f>IFERROR(__xludf.DUMMYFUNCTION("""COMPUTED_VALUE"""),3.0)</f>
        <v>3</v>
      </c>
      <c r="B11" s="78" t="str">
        <f>IFERROR(__xludf.DUMMYFUNCTION("""COMPUTED_VALUE"""),"1000054169")</f>
        <v>1000054169</v>
      </c>
      <c r="C11" s="79" t="str">
        <f>IFERROR(__xludf.DUMMYFUNCTION("""COMPUTED_VALUE"""),"Sharah Mehzabin")</f>
        <v>Sharah Mehzabin</v>
      </c>
      <c r="D11" s="80" t="str">
        <f>IFERROR(__xludf.DUMMYFUNCTION("""COMPUTED_VALUE"""),"sharah.mehzabin@g.bracu.ac.bd")</f>
        <v>sharah.mehzabin@g.bracu.ac.bd</v>
      </c>
      <c r="E11" s="94" t="b">
        <f>IFERROR(__xludf.DUMMYFUNCTION("""COMPUTED_VALUE"""),FALSE)</f>
        <v>0</v>
      </c>
      <c r="F11" s="95">
        <f>IFERROR(__xludf.DUMMYFUNCTION("""COMPUTED_VALUE"""),7.0)</f>
        <v>7</v>
      </c>
      <c r="G11" s="96" t="str">
        <f>IFERROR(__xludf.DUMMYFUNCTION("""COMPUTED_VALUE"""),"BARRED")</f>
        <v>BARRED</v>
      </c>
      <c r="H11" s="95">
        <f>IFERROR(__xludf.DUMMYFUNCTION("""COMPUTED_VALUE"""),0.0)</f>
        <v>0</v>
      </c>
      <c r="I11" s="78">
        <f>IFERROR(__xludf.DUMMYFUNCTION("""COMPUTED_VALUE"""),0.0)</f>
        <v>0</v>
      </c>
      <c r="J11" s="78">
        <f>IFERROR(__xludf.DUMMYFUNCTION("""COMPUTED_VALUE"""),0.0)</f>
        <v>0</v>
      </c>
      <c r="K11" s="78">
        <f>IFERROR(__xludf.DUMMYFUNCTION("""COMPUTED_VALUE"""),0.0)</f>
        <v>0</v>
      </c>
      <c r="L11" s="78">
        <f>IFERROR(__xludf.DUMMYFUNCTION("""COMPUTED_VALUE"""),0.0)</f>
        <v>0</v>
      </c>
      <c r="M11" s="78">
        <f>IFERROR(__xludf.DUMMYFUNCTION("""COMPUTED_VALUE"""),0.0)</f>
        <v>0</v>
      </c>
      <c r="N11" s="78">
        <f>IFERROR(__xludf.DUMMYFUNCTION("""COMPUTED_VALUE"""),0.0)</f>
        <v>0</v>
      </c>
      <c r="O11" s="96">
        <f>IFERROR(__xludf.DUMMYFUNCTION("""COMPUTED_VALUE"""),0.0)</f>
        <v>0</v>
      </c>
      <c r="P11" s="97"/>
      <c r="Q11" s="98"/>
      <c r="R11" s="78"/>
      <c r="S11" s="97"/>
      <c r="T11" s="78"/>
      <c r="U11" s="96"/>
      <c r="V11" s="97"/>
      <c r="W11" s="96"/>
      <c r="X11" s="97">
        <f>IFERROR(__xludf.DUMMYFUNCTION("""COMPUTED_VALUE"""),0.0)</f>
        <v>0</v>
      </c>
      <c r="Y11" s="78">
        <f>IFERROR(__xludf.DUMMYFUNCTION("""COMPUTED_VALUE"""),0.0)</f>
        <v>0</v>
      </c>
      <c r="Z11" s="78">
        <f>IFERROR(__xludf.DUMMYFUNCTION("""COMPUTED_VALUE"""),0.0)</f>
        <v>0</v>
      </c>
      <c r="AA11" s="78">
        <f>IFERROR(__xludf.DUMMYFUNCTION("""COMPUTED_VALUE"""),0.0)</f>
        <v>0</v>
      </c>
      <c r="AB11" s="98"/>
      <c r="AC11" s="98">
        <f>IFERROR(__xludf.DUMMYFUNCTION("""COMPUTED_VALUE"""),0.0)</f>
        <v>0</v>
      </c>
      <c r="AD11" s="78">
        <f>IFERROR(__xludf.DUMMYFUNCTION("""COMPUTED_VALUE"""),0.0)</f>
        <v>0</v>
      </c>
      <c r="AE11" s="99"/>
      <c r="AF11" s="97"/>
      <c r="AG11" s="78"/>
      <c r="AH11" s="78"/>
      <c r="AI11" s="100"/>
      <c r="AJ11" s="101">
        <f>IFERROR(__xludf.DUMMYFUNCTION("""COMPUTED_VALUE"""),0.0)</f>
        <v>0</v>
      </c>
      <c r="AK11" s="78">
        <f>IFERROR(__xludf.DUMMYFUNCTION("""COMPUTED_VALUE"""),0.0)</f>
        <v>0</v>
      </c>
      <c r="AL11" s="78">
        <f>IFERROR(__xludf.DUMMYFUNCTION("""COMPUTED_VALUE"""),0.0)</f>
        <v>0</v>
      </c>
      <c r="AM11" s="98">
        <f>IFERROR(__xludf.DUMMYFUNCTION("""COMPUTED_VALUE"""),0.0)</f>
        <v>0</v>
      </c>
      <c r="AN11" s="98">
        <f>IFERROR(__xludf.DUMMYFUNCTION("""COMPUTED_VALUE"""),0.0)</f>
        <v>0</v>
      </c>
      <c r="AO11" s="1"/>
      <c r="AP11" s="1"/>
      <c r="AQ11" s="1" t="str">
        <f>IFERROR(__xludf.DUMMYFUNCTION("""COMPUTED_VALUE"""),"24201355")</f>
        <v>24201355</v>
      </c>
      <c r="AR11" s="1" t="str">
        <f>IFERROR(__xludf.DUMMYFUNCTION("""COMPUTED_VALUE"""),"Jannat Ara Jahan")</f>
        <v>Jannat Ara Jahan</v>
      </c>
      <c r="AS11" s="1" t="str">
        <f>IFERROR(__xludf.DUMMYFUNCTION("""COMPUTED_VALUE"""),"jannat.ara.jahan@g.bracu.ac.bd")</f>
        <v>jannat.ara.jahan@g.bracu.ac.bd</v>
      </c>
      <c r="AT11" s="1"/>
      <c r="AU11" s="1"/>
      <c r="AV11" s="1"/>
      <c r="AW11" s="1"/>
      <c r="AX11" s="1">
        <f>IFERROR(__xludf.DUMMYFUNCTION("""COMPUTED_VALUE"""),0.0)</f>
        <v>0</v>
      </c>
    </row>
    <row r="12">
      <c r="A12" s="78">
        <f>IFERROR(__xludf.DUMMYFUNCTION("""COMPUTED_VALUE"""),4.0)</f>
        <v>4</v>
      </c>
      <c r="B12" s="78" t="str">
        <f>IFERROR(__xludf.DUMMYFUNCTION("""COMPUTED_VALUE"""),"1000054209")</f>
        <v>1000054209</v>
      </c>
      <c r="C12" s="79" t="str">
        <f>IFERROR(__xludf.DUMMYFUNCTION("""COMPUTED_VALUE"""),"Irfan Hossain")</f>
        <v>Irfan Hossain</v>
      </c>
      <c r="D12" s="80" t="str">
        <f>IFERROR(__xludf.DUMMYFUNCTION("""COMPUTED_VALUE"""),"irfan.hossain@g.bracu.ac.bd")</f>
        <v>irfan.hossain@g.bracu.ac.bd</v>
      </c>
      <c r="E12" s="94" t="b">
        <f>IFERROR(__xludf.DUMMYFUNCTION("""COMPUTED_VALUE"""),TRUE)</f>
        <v>1</v>
      </c>
      <c r="F12" s="95">
        <f>IFERROR(__xludf.DUMMYFUNCTION("""COMPUTED_VALUE"""),0.0)</f>
        <v>0</v>
      </c>
      <c r="G12" s="96" t="str">
        <f>IFERROR(__xludf.DUMMYFUNCTION("""COMPUTED_VALUE"""),"OKAY")</f>
        <v>OKAY</v>
      </c>
      <c r="H12" s="95">
        <f>IFERROR(__xludf.DUMMYFUNCTION("""COMPUTED_VALUE"""),1.0)</f>
        <v>1</v>
      </c>
      <c r="I12" s="78">
        <f>IFERROR(__xludf.DUMMYFUNCTION("""COMPUTED_VALUE"""),1.0)</f>
        <v>1</v>
      </c>
      <c r="J12" s="78">
        <f>IFERROR(__xludf.DUMMYFUNCTION("""COMPUTED_VALUE"""),1.0)</f>
        <v>1</v>
      </c>
      <c r="K12" s="78">
        <f>IFERROR(__xludf.DUMMYFUNCTION("""COMPUTED_VALUE"""),1.0)</f>
        <v>1</v>
      </c>
      <c r="L12" s="78">
        <f>IFERROR(__xludf.DUMMYFUNCTION("""COMPUTED_VALUE"""),1.0)</f>
        <v>1</v>
      </c>
      <c r="M12" s="78">
        <f>IFERROR(__xludf.DUMMYFUNCTION("""COMPUTED_VALUE"""),1.0)</f>
        <v>1</v>
      </c>
      <c r="N12" s="78">
        <f>IFERROR(__xludf.DUMMYFUNCTION("""COMPUTED_VALUE"""),1.0)</f>
        <v>1</v>
      </c>
      <c r="O12" s="96">
        <f>IFERROR(__xludf.DUMMYFUNCTION("""COMPUTED_VALUE"""),1.0)</f>
        <v>1</v>
      </c>
      <c r="P12" s="97"/>
      <c r="Q12" s="98">
        <f>IFERROR(__xludf.DUMMYFUNCTION("""COMPUTED_VALUE"""),5.0)</f>
        <v>5</v>
      </c>
      <c r="R12" s="78"/>
      <c r="S12" s="97"/>
      <c r="T12" s="78"/>
      <c r="U12" s="96">
        <f>IFERROR(__xludf.DUMMYFUNCTION("""COMPUTED_VALUE"""),4.5)</f>
        <v>4.5</v>
      </c>
      <c r="V12" s="97"/>
      <c r="W12" s="96"/>
      <c r="X12" s="97">
        <f>IFERROR(__xludf.DUMMYFUNCTION("""COMPUTED_VALUE"""),4.0)</f>
        <v>4</v>
      </c>
      <c r="Y12" s="78">
        <f>IFERROR(__xludf.DUMMYFUNCTION("""COMPUTED_VALUE"""),5.0)</f>
        <v>5</v>
      </c>
      <c r="Z12" s="78">
        <f>IFERROR(__xludf.DUMMYFUNCTION("""COMPUTED_VALUE"""),5.0)</f>
        <v>5</v>
      </c>
      <c r="AA12" s="78">
        <f>IFERROR(__xludf.DUMMYFUNCTION("""COMPUTED_VALUE"""),5.0)</f>
        <v>5</v>
      </c>
      <c r="AB12" s="98">
        <f>IFERROR(__xludf.DUMMYFUNCTION("""COMPUTED_VALUE"""),5.0)</f>
        <v>5</v>
      </c>
      <c r="AC12" s="98">
        <f>IFERROR(__xludf.DUMMYFUNCTION("""COMPUTED_VALUE"""),5.0)</f>
        <v>5</v>
      </c>
      <c r="AD12" s="78">
        <f>IFERROR(__xludf.DUMMYFUNCTION("""COMPUTED_VALUE"""),5.0)</f>
        <v>5</v>
      </c>
      <c r="AE12" s="99">
        <f>IFERROR(__xludf.DUMMYFUNCTION("""COMPUTED_VALUE"""),5.0)</f>
        <v>5</v>
      </c>
      <c r="AF12" s="97">
        <f>IFERROR(__xludf.DUMMYFUNCTION("""COMPUTED_VALUE"""),9.0)</f>
        <v>9</v>
      </c>
      <c r="AG12" s="78">
        <f>IFERROR(__xludf.DUMMYFUNCTION("""COMPUTED_VALUE"""),10.0)</f>
        <v>10</v>
      </c>
      <c r="AH12" s="78">
        <f>IFERROR(__xludf.DUMMYFUNCTION("""COMPUTED_VALUE"""),9.5)</f>
        <v>9.5</v>
      </c>
      <c r="AI12" s="100">
        <f>IFERROR(__xludf.DUMMYFUNCTION("""COMPUTED_VALUE"""),6.0)</f>
        <v>6</v>
      </c>
      <c r="AJ12" s="101">
        <f>IFERROR(__xludf.DUMMYFUNCTION("""COMPUTED_VALUE"""),0.0)</f>
        <v>0</v>
      </c>
      <c r="AK12" s="78">
        <f>IFERROR(__xludf.DUMMYFUNCTION("""COMPUTED_VALUE"""),19.0)</f>
        <v>19</v>
      </c>
      <c r="AL12" s="78">
        <f>IFERROR(__xludf.DUMMYFUNCTION("""COMPUTED_VALUE"""),2.85)</f>
        <v>2.85</v>
      </c>
      <c r="AM12" s="98">
        <f>IFERROR(__xludf.DUMMYFUNCTION("""COMPUTED_VALUE"""),1.95)</f>
        <v>1.95</v>
      </c>
      <c r="AN12" s="93">
        <f>IFERROR(__xludf.DUMMYFUNCTION("""COMPUTED_VALUE"""),24.0)</f>
        <v>24</v>
      </c>
      <c r="AO12" s="1"/>
      <c r="AP12" s="1"/>
      <c r="AQ12" s="1" t="str">
        <f>IFERROR(__xludf.DUMMYFUNCTION("""COMPUTED_VALUE"""),"25121010")</f>
        <v>25121010</v>
      </c>
      <c r="AR12" s="1" t="str">
        <f>IFERROR(__xludf.DUMMYFUNCTION("""COMPUTED_VALUE"""),"Tauhid Hassan Farian")</f>
        <v>Tauhid Hassan Farian</v>
      </c>
      <c r="AS12" s="1" t="str">
        <f>IFERROR(__xludf.DUMMYFUNCTION("""COMPUTED_VALUE"""),"tauhid.hassan.farian@g.bracu.ac.bd")</f>
        <v>tauhid.hassan.farian@g.bracu.ac.bd</v>
      </c>
      <c r="AT12" s="1"/>
      <c r="AU12" s="1"/>
      <c r="AV12" s="1"/>
      <c r="AW12" s="1"/>
      <c r="AX12" s="1">
        <f>IFERROR(__xludf.DUMMYFUNCTION("""COMPUTED_VALUE"""),2.0)</f>
        <v>2</v>
      </c>
    </row>
    <row r="13">
      <c r="A13" s="78">
        <f>IFERROR(__xludf.DUMMYFUNCTION("""COMPUTED_VALUE"""),5.0)</f>
        <v>5</v>
      </c>
      <c r="B13" s="78" t="str">
        <f>IFERROR(__xludf.DUMMYFUNCTION("""COMPUTED_VALUE"""),"1000054685")</f>
        <v>1000054685</v>
      </c>
      <c r="C13" s="79" t="str">
        <f>IFERROR(__xludf.DUMMYFUNCTION("""COMPUTED_VALUE"""),"Syed Ahnaf Jawad")</f>
        <v>Syed Ahnaf Jawad</v>
      </c>
      <c r="D13" s="80" t="str">
        <f>IFERROR(__xludf.DUMMYFUNCTION("""COMPUTED_VALUE"""),"syed.ahnaf.jawad@g.bracu.ac.bd")</f>
        <v>syed.ahnaf.jawad@g.bracu.ac.bd</v>
      </c>
      <c r="E13" s="94" t="b">
        <f>IFERROR(__xludf.DUMMYFUNCTION("""COMPUTED_VALUE"""),TRUE)</f>
        <v>1</v>
      </c>
      <c r="F13" s="95">
        <f>IFERROR(__xludf.DUMMYFUNCTION("""COMPUTED_VALUE"""),0.0)</f>
        <v>0</v>
      </c>
      <c r="G13" s="96" t="str">
        <f>IFERROR(__xludf.DUMMYFUNCTION("""COMPUTED_VALUE"""),"OKAY")</f>
        <v>OKAY</v>
      </c>
      <c r="H13" s="95">
        <f>IFERROR(__xludf.DUMMYFUNCTION("""COMPUTED_VALUE"""),1.0)</f>
        <v>1</v>
      </c>
      <c r="I13" s="78">
        <f>IFERROR(__xludf.DUMMYFUNCTION("""COMPUTED_VALUE"""),1.0)</f>
        <v>1</v>
      </c>
      <c r="J13" s="78">
        <f>IFERROR(__xludf.DUMMYFUNCTION("""COMPUTED_VALUE"""),1.0)</f>
        <v>1</v>
      </c>
      <c r="K13" s="78">
        <f>IFERROR(__xludf.DUMMYFUNCTION("""COMPUTED_VALUE"""),1.0)</f>
        <v>1</v>
      </c>
      <c r="L13" s="78">
        <f>IFERROR(__xludf.DUMMYFUNCTION("""COMPUTED_VALUE"""),1.0)</f>
        <v>1</v>
      </c>
      <c r="M13" s="78">
        <f>IFERROR(__xludf.DUMMYFUNCTION("""COMPUTED_VALUE"""),1.0)</f>
        <v>1</v>
      </c>
      <c r="N13" s="78">
        <f>IFERROR(__xludf.DUMMYFUNCTION("""COMPUTED_VALUE"""),1.0)</f>
        <v>1</v>
      </c>
      <c r="O13" s="96">
        <f>IFERROR(__xludf.DUMMYFUNCTION("""COMPUTED_VALUE"""),1.0)</f>
        <v>1</v>
      </c>
      <c r="P13" s="97"/>
      <c r="Q13" s="98">
        <f>IFERROR(__xludf.DUMMYFUNCTION("""COMPUTED_VALUE"""),1.0)</f>
        <v>1</v>
      </c>
      <c r="R13" s="78"/>
      <c r="S13" s="97"/>
      <c r="T13" s="78"/>
      <c r="U13" s="96">
        <f>IFERROR(__xludf.DUMMYFUNCTION("""COMPUTED_VALUE"""),2.0)</f>
        <v>2</v>
      </c>
      <c r="V13" s="97"/>
      <c r="W13" s="96"/>
      <c r="X13" s="97">
        <f>IFERROR(__xludf.DUMMYFUNCTION("""COMPUTED_VALUE"""),4.3)</f>
        <v>4.3</v>
      </c>
      <c r="Y13" s="78">
        <f>IFERROR(__xludf.DUMMYFUNCTION("""COMPUTED_VALUE"""),4.82)</f>
        <v>4.82</v>
      </c>
      <c r="Z13" s="78">
        <f>IFERROR(__xludf.DUMMYFUNCTION("""COMPUTED_VALUE"""),3.33)</f>
        <v>3.33</v>
      </c>
      <c r="AA13" s="78">
        <f>IFERROR(__xludf.DUMMYFUNCTION("""COMPUTED_VALUE"""),2.08)</f>
        <v>2.08</v>
      </c>
      <c r="AB13" s="98">
        <f>IFERROR(__xludf.DUMMYFUNCTION("""COMPUTED_VALUE"""),0.0)</f>
        <v>0</v>
      </c>
      <c r="AC13" s="98">
        <f>IFERROR(__xludf.DUMMYFUNCTION("""COMPUTED_VALUE"""),5.0)</f>
        <v>5</v>
      </c>
      <c r="AD13" s="78">
        <f>IFERROR(__xludf.DUMMYFUNCTION("""COMPUTED_VALUE"""),5.0)</f>
        <v>5</v>
      </c>
      <c r="AE13" s="99">
        <f>IFERROR(__xludf.DUMMYFUNCTION("""COMPUTED_VALUE"""),4.92)</f>
        <v>4.92</v>
      </c>
      <c r="AF13" s="97">
        <f>IFERROR(__xludf.DUMMYFUNCTION("""COMPUTED_VALUE"""),10.0)</f>
        <v>10</v>
      </c>
      <c r="AG13" s="78">
        <f>IFERROR(__xludf.DUMMYFUNCTION("""COMPUTED_VALUE"""),9.25)</f>
        <v>9.25</v>
      </c>
      <c r="AH13" s="78">
        <f>IFERROR(__xludf.DUMMYFUNCTION("""COMPUTED_VALUE"""),8.5)</f>
        <v>8.5</v>
      </c>
      <c r="AI13" s="100">
        <f>IFERROR(__xludf.DUMMYFUNCTION("""COMPUTED_VALUE"""),1.0)</f>
        <v>1</v>
      </c>
      <c r="AJ13" s="101">
        <f>IFERROR(__xludf.DUMMYFUNCTION("""COMPUTED_VALUE"""),0.0)</f>
        <v>0</v>
      </c>
      <c r="AK13" s="78">
        <f>IFERROR(__xludf.DUMMYFUNCTION("""COMPUTED_VALUE"""),18.5)</f>
        <v>18.5</v>
      </c>
      <c r="AL13" s="78">
        <f>IFERROR(__xludf.DUMMYFUNCTION("""COMPUTED_VALUE"""),0.9)</f>
        <v>0.9</v>
      </c>
      <c r="AM13" s="98">
        <f>IFERROR(__xludf.DUMMYFUNCTION("""COMPUTED_VALUE"""),1.473)</f>
        <v>1.473</v>
      </c>
      <c r="AN13" s="93">
        <f>IFERROR(__xludf.DUMMYFUNCTION("""COMPUTED_VALUE"""),21.0)</f>
        <v>21</v>
      </c>
      <c r="AO13" s="1"/>
      <c r="AP13" s="1"/>
      <c r="AQ13" s="1"/>
      <c r="AR13" s="1"/>
      <c r="AS13" s="1"/>
      <c r="AT13" s="1"/>
      <c r="AU13" s="1"/>
      <c r="AV13" s="1"/>
      <c r="AW13" s="1"/>
      <c r="AX13" s="1">
        <f>IFERROR(__xludf.DUMMYFUNCTION("""COMPUTED_VALUE"""),2.0)</f>
        <v>2</v>
      </c>
    </row>
    <row r="14">
      <c r="A14" s="78">
        <f>IFERROR(__xludf.DUMMYFUNCTION("""COMPUTED_VALUE"""),6.0)</f>
        <v>6</v>
      </c>
      <c r="B14" s="78" t="str">
        <f>IFERROR(__xludf.DUMMYFUNCTION("""COMPUTED_VALUE"""),"1000054829")</f>
        <v>1000054829</v>
      </c>
      <c r="C14" s="79" t="str">
        <f>IFERROR(__xludf.DUMMYFUNCTION("""COMPUTED_VALUE"""),"Md Ali Reza Rafi")</f>
        <v>Md Ali Reza Rafi</v>
      </c>
      <c r="D14" s="80" t="str">
        <f>IFERROR(__xludf.DUMMYFUNCTION("""COMPUTED_VALUE"""),"ali.reza.rafi@g.bracu.ac.bd")</f>
        <v>ali.reza.rafi@g.bracu.ac.bd</v>
      </c>
      <c r="E14" s="94" t="b">
        <f>IFERROR(__xludf.DUMMYFUNCTION("""COMPUTED_VALUE"""),TRUE)</f>
        <v>1</v>
      </c>
      <c r="F14" s="95">
        <f>IFERROR(__xludf.DUMMYFUNCTION("""COMPUTED_VALUE"""),0.0)</f>
        <v>0</v>
      </c>
      <c r="G14" s="96" t="str">
        <f>IFERROR(__xludf.DUMMYFUNCTION("""COMPUTED_VALUE"""),"OKAY")</f>
        <v>OKAY</v>
      </c>
      <c r="H14" s="95">
        <f>IFERROR(__xludf.DUMMYFUNCTION("""COMPUTED_VALUE"""),0.0)</f>
        <v>0</v>
      </c>
      <c r="I14" s="78">
        <f>IFERROR(__xludf.DUMMYFUNCTION("""COMPUTED_VALUE"""),1.0)</f>
        <v>1</v>
      </c>
      <c r="J14" s="78">
        <f>IFERROR(__xludf.DUMMYFUNCTION("""COMPUTED_VALUE"""),1.0)</f>
        <v>1</v>
      </c>
      <c r="K14" s="78">
        <f>IFERROR(__xludf.DUMMYFUNCTION("""COMPUTED_VALUE"""),1.0)</f>
        <v>1</v>
      </c>
      <c r="L14" s="78">
        <f>IFERROR(__xludf.DUMMYFUNCTION("""COMPUTED_VALUE"""),1.0)</f>
        <v>1</v>
      </c>
      <c r="M14" s="78">
        <f>IFERROR(__xludf.DUMMYFUNCTION("""COMPUTED_VALUE"""),1.0)</f>
        <v>1</v>
      </c>
      <c r="N14" s="78">
        <f>IFERROR(__xludf.DUMMYFUNCTION("""COMPUTED_VALUE"""),1.0)</f>
        <v>1</v>
      </c>
      <c r="O14" s="96">
        <f>IFERROR(__xludf.DUMMYFUNCTION("""COMPUTED_VALUE"""),1.0)</f>
        <v>1</v>
      </c>
      <c r="P14" s="97"/>
      <c r="Q14" s="98">
        <f>IFERROR(__xludf.DUMMYFUNCTION("""COMPUTED_VALUE"""),5.0)</f>
        <v>5</v>
      </c>
      <c r="R14" s="78"/>
      <c r="S14" s="97"/>
      <c r="T14" s="78"/>
      <c r="U14" s="96">
        <f>IFERROR(__xludf.DUMMYFUNCTION("""COMPUTED_VALUE"""),2.5)</f>
        <v>2.5</v>
      </c>
      <c r="V14" s="97"/>
      <c r="W14" s="96"/>
      <c r="X14" s="97">
        <f>IFERROR(__xludf.DUMMYFUNCTION("""COMPUTED_VALUE"""),3.0)</f>
        <v>3</v>
      </c>
      <c r="Y14" s="78">
        <f>IFERROR(__xludf.DUMMYFUNCTION("""COMPUTED_VALUE"""),4.9)</f>
        <v>4.9</v>
      </c>
      <c r="Z14" s="78">
        <f>IFERROR(__xludf.DUMMYFUNCTION("""COMPUTED_VALUE"""),0.0)</f>
        <v>0</v>
      </c>
      <c r="AA14" s="78">
        <f>IFERROR(__xludf.DUMMYFUNCTION("""COMPUTED_VALUE"""),0.0)</f>
        <v>0</v>
      </c>
      <c r="AB14" s="98"/>
      <c r="AC14" s="98">
        <f>IFERROR(__xludf.DUMMYFUNCTION("""COMPUTED_VALUE"""),4.0)</f>
        <v>4</v>
      </c>
      <c r="AD14" s="78">
        <f>IFERROR(__xludf.DUMMYFUNCTION("""COMPUTED_VALUE"""),0.0)</f>
        <v>0</v>
      </c>
      <c r="AE14" s="99"/>
      <c r="AF14" s="97">
        <f>IFERROR(__xludf.DUMMYFUNCTION("""COMPUTED_VALUE"""),5.5)</f>
        <v>5.5</v>
      </c>
      <c r="AG14" s="78">
        <f>IFERROR(__xludf.DUMMYFUNCTION("""COMPUTED_VALUE"""),7.0)</f>
        <v>7</v>
      </c>
      <c r="AH14" s="78">
        <f>IFERROR(__xludf.DUMMYFUNCTION("""COMPUTED_VALUE"""),6.0)</f>
        <v>6</v>
      </c>
      <c r="AI14" s="100">
        <f>IFERROR(__xludf.DUMMYFUNCTION("""COMPUTED_VALUE"""),1.0)</f>
        <v>1</v>
      </c>
      <c r="AJ14" s="101">
        <f>IFERROR(__xludf.DUMMYFUNCTION("""COMPUTED_VALUE"""),0.0)</f>
        <v>0</v>
      </c>
      <c r="AK14" s="78">
        <f>IFERROR(__xludf.DUMMYFUNCTION("""COMPUTED_VALUE"""),12.334)</f>
        <v>12.334</v>
      </c>
      <c r="AL14" s="78">
        <f>IFERROR(__xludf.DUMMYFUNCTION("""COMPUTED_VALUE"""),2.25)</f>
        <v>2.25</v>
      </c>
      <c r="AM14" s="98">
        <f>IFERROR(__xludf.DUMMYFUNCTION("""COMPUTED_VALUE"""),0.595)</f>
        <v>0.595</v>
      </c>
      <c r="AN14" s="93">
        <f>IFERROR(__xludf.DUMMYFUNCTION("""COMPUTED_VALUE"""),15.25)</f>
        <v>15.25</v>
      </c>
      <c r="AO14" s="1"/>
      <c r="AP14" s="1"/>
      <c r="AQ14" s="1"/>
      <c r="AR14" s="1"/>
      <c r="AS14" s="1"/>
      <c r="AT14" s="1"/>
      <c r="AU14" s="1"/>
      <c r="AV14" s="1"/>
      <c r="AW14" s="1"/>
      <c r="AX14" s="1">
        <f>IFERROR(__xludf.DUMMYFUNCTION("""COMPUTED_VALUE"""),2.0)</f>
        <v>2</v>
      </c>
    </row>
    <row r="15">
      <c r="A15" s="78">
        <f>IFERROR(__xludf.DUMMYFUNCTION("""COMPUTED_VALUE"""),7.0)</f>
        <v>7</v>
      </c>
      <c r="B15" s="78" t="str">
        <f>IFERROR(__xludf.DUMMYFUNCTION("""COMPUTED_VALUE"""),"1000054922")</f>
        <v>1000054922</v>
      </c>
      <c r="C15" s="79" t="str">
        <f>IFERROR(__xludf.DUMMYFUNCTION("""COMPUTED_VALUE"""),"Khan Abid Hasan Sakib")</f>
        <v>Khan Abid Hasan Sakib</v>
      </c>
      <c r="D15" s="80" t="str">
        <f>IFERROR(__xludf.DUMMYFUNCTION("""COMPUTED_VALUE"""),"abid.hasan.sakib@g.bracu.ac.bd.com")</f>
        <v>abid.hasan.sakib@g.bracu.ac.bd.com</v>
      </c>
      <c r="E15" s="94" t="b">
        <f>IFERROR(__xludf.DUMMYFUNCTION("""COMPUTED_VALUE"""),FALSE)</f>
        <v>0</v>
      </c>
      <c r="F15" s="95">
        <f>IFERROR(__xludf.DUMMYFUNCTION("""COMPUTED_VALUE"""),0.0)</f>
        <v>0</v>
      </c>
      <c r="G15" s="96" t="str">
        <f>IFERROR(__xludf.DUMMYFUNCTION("""COMPUTED_VALUE"""),"OKAY")</f>
        <v>OKAY</v>
      </c>
      <c r="H15" s="95">
        <f>IFERROR(__xludf.DUMMYFUNCTION("""COMPUTED_VALUE"""),1.0)</f>
        <v>1</v>
      </c>
      <c r="I15" s="78">
        <f>IFERROR(__xludf.DUMMYFUNCTION("""COMPUTED_VALUE"""),1.0)</f>
        <v>1</v>
      </c>
      <c r="J15" s="78">
        <f>IFERROR(__xludf.DUMMYFUNCTION("""COMPUTED_VALUE"""),1.0)</f>
        <v>1</v>
      </c>
      <c r="K15" s="78">
        <f>IFERROR(__xludf.DUMMYFUNCTION("""COMPUTED_VALUE"""),1.0)</f>
        <v>1</v>
      </c>
      <c r="L15" s="78">
        <f>IFERROR(__xludf.DUMMYFUNCTION("""COMPUTED_VALUE"""),1.0)</f>
        <v>1</v>
      </c>
      <c r="M15" s="78">
        <f>IFERROR(__xludf.DUMMYFUNCTION("""COMPUTED_VALUE"""),1.0)</f>
        <v>1</v>
      </c>
      <c r="N15" s="78">
        <f>IFERROR(__xludf.DUMMYFUNCTION("""COMPUTED_VALUE"""),1.0)</f>
        <v>1</v>
      </c>
      <c r="O15" s="96">
        <f>IFERROR(__xludf.DUMMYFUNCTION("""COMPUTED_VALUE"""),1.0)</f>
        <v>1</v>
      </c>
      <c r="P15" s="97"/>
      <c r="Q15" s="98">
        <f>IFERROR(__xludf.DUMMYFUNCTION("""COMPUTED_VALUE"""),4.0)</f>
        <v>4</v>
      </c>
      <c r="R15" s="78"/>
      <c r="S15" s="97"/>
      <c r="T15" s="78"/>
      <c r="U15" s="96">
        <f>IFERROR(__xludf.DUMMYFUNCTION("""COMPUTED_VALUE"""),3.0)</f>
        <v>3</v>
      </c>
      <c r="V15" s="97"/>
      <c r="W15" s="96"/>
      <c r="X15" s="97">
        <f>IFERROR(__xludf.DUMMYFUNCTION("""COMPUTED_VALUE"""),4.3)</f>
        <v>4.3</v>
      </c>
      <c r="Y15" s="78">
        <f>IFERROR(__xludf.DUMMYFUNCTION("""COMPUTED_VALUE"""),4.9)</f>
        <v>4.9</v>
      </c>
      <c r="Z15" s="78">
        <f>IFERROR(__xludf.DUMMYFUNCTION("""COMPUTED_VALUE"""),0.0)</f>
        <v>0</v>
      </c>
      <c r="AA15" s="78">
        <f>IFERROR(__xludf.DUMMYFUNCTION("""COMPUTED_VALUE"""),3.33)</f>
        <v>3.33</v>
      </c>
      <c r="AB15" s="98">
        <f>IFERROR(__xludf.DUMMYFUNCTION("""COMPUTED_VALUE"""),0.0)</f>
        <v>0</v>
      </c>
      <c r="AC15" s="98">
        <f>IFERROR(__xludf.DUMMYFUNCTION("""COMPUTED_VALUE"""),0.0)</f>
        <v>0</v>
      </c>
      <c r="AD15" s="78">
        <f>IFERROR(__xludf.DUMMYFUNCTION("""COMPUTED_VALUE"""),0.0)</f>
        <v>0</v>
      </c>
      <c r="AE15" s="99"/>
      <c r="AF15" s="97">
        <f>IFERROR(__xludf.DUMMYFUNCTION("""COMPUTED_VALUE"""),3.0)</f>
        <v>3</v>
      </c>
      <c r="AG15" s="78">
        <f>IFERROR(__xludf.DUMMYFUNCTION("""COMPUTED_VALUE"""),6.0)</f>
        <v>6</v>
      </c>
      <c r="AH15" s="78">
        <f>IFERROR(__xludf.DUMMYFUNCTION("""COMPUTED_VALUE"""),5.0)</f>
        <v>5</v>
      </c>
      <c r="AI15" s="100">
        <f>IFERROR(__xludf.DUMMYFUNCTION("""COMPUTED_VALUE"""),1.0)</f>
        <v>1</v>
      </c>
      <c r="AJ15" s="101">
        <f>IFERROR(__xludf.DUMMYFUNCTION("""COMPUTED_VALUE"""),0.0)</f>
        <v>0</v>
      </c>
      <c r="AK15" s="78">
        <f>IFERROR(__xludf.DUMMYFUNCTION("""COMPUTED_VALUE"""),9.334)</f>
        <v>9.334</v>
      </c>
      <c r="AL15" s="78">
        <f>IFERROR(__xludf.DUMMYFUNCTION("""COMPUTED_VALUE"""),2.1)</f>
        <v>2.1</v>
      </c>
      <c r="AM15" s="98">
        <f>IFERROR(__xludf.DUMMYFUNCTION("""COMPUTED_VALUE"""),0.627)</f>
        <v>0.627</v>
      </c>
      <c r="AN15" s="93">
        <f>IFERROR(__xludf.DUMMYFUNCTION("""COMPUTED_VALUE"""),12.25)</f>
        <v>12.25</v>
      </c>
      <c r="AO15" s="1"/>
      <c r="AP15" s="1"/>
      <c r="AQ15" s="1"/>
      <c r="AR15" s="1"/>
      <c r="AS15" s="1"/>
      <c r="AT15" s="1"/>
      <c r="AU15" s="1"/>
      <c r="AV15" s="1"/>
      <c r="AW15" s="1"/>
      <c r="AX15" s="1">
        <f>IFERROR(__xludf.DUMMYFUNCTION("""COMPUTED_VALUE"""),2.0)</f>
        <v>2</v>
      </c>
    </row>
    <row r="16">
      <c r="A16" s="78">
        <f>IFERROR(__xludf.DUMMYFUNCTION("""COMPUTED_VALUE"""),8.0)</f>
        <v>8</v>
      </c>
      <c r="B16" s="78" t="str">
        <f>IFERROR(__xludf.DUMMYFUNCTION("""COMPUTED_VALUE"""),"1000055145")</f>
        <v>1000055145</v>
      </c>
      <c r="C16" s="79" t="str">
        <f>IFERROR(__xludf.DUMMYFUNCTION("""COMPUTED_VALUE"""),"Md. Eftekharuzzaman")</f>
        <v>Md. Eftekharuzzaman</v>
      </c>
      <c r="D16" s="80" t="str">
        <f>IFERROR(__xludf.DUMMYFUNCTION("""COMPUTED_VALUE"""),"md.eftekharuzzaman@g.bracu.ac.bd")</f>
        <v>md.eftekharuzzaman@g.bracu.ac.bd</v>
      </c>
      <c r="E16" s="94" t="b">
        <f>IFERROR(__xludf.DUMMYFUNCTION("""COMPUTED_VALUE"""),TRUE)</f>
        <v>1</v>
      </c>
      <c r="F16" s="95">
        <f>IFERROR(__xludf.DUMMYFUNCTION("""COMPUTED_VALUE"""),0.0)</f>
        <v>0</v>
      </c>
      <c r="G16" s="96" t="str">
        <f>IFERROR(__xludf.DUMMYFUNCTION("""COMPUTED_VALUE"""),"OKAY")</f>
        <v>OKAY</v>
      </c>
      <c r="H16" s="95">
        <f>IFERROR(__xludf.DUMMYFUNCTION("""COMPUTED_VALUE"""),1.0)</f>
        <v>1</v>
      </c>
      <c r="I16" s="78">
        <f>IFERROR(__xludf.DUMMYFUNCTION("""COMPUTED_VALUE"""),1.0)</f>
        <v>1</v>
      </c>
      <c r="J16" s="78">
        <f>IFERROR(__xludf.DUMMYFUNCTION("""COMPUTED_VALUE"""),1.0)</f>
        <v>1</v>
      </c>
      <c r="K16" s="78">
        <f>IFERROR(__xludf.DUMMYFUNCTION("""COMPUTED_VALUE"""),1.0)</f>
        <v>1</v>
      </c>
      <c r="L16" s="78">
        <f>IFERROR(__xludf.DUMMYFUNCTION("""COMPUTED_VALUE"""),1.0)</f>
        <v>1</v>
      </c>
      <c r="M16" s="78">
        <f>IFERROR(__xludf.DUMMYFUNCTION("""COMPUTED_VALUE"""),1.0)</f>
        <v>1</v>
      </c>
      <c r="N16" s="78">
        <f>IFERROR(__xludf.DUMMYFUNCTION("""COMPUTED_VALUE"""),1.0)</f>
        <v>1</v>
      </c>
      <c r="O16" s="96">
        <f>IFERROR(__xludf.DUMMYFUNCTION("""COMPUTED_VALUE"""),1.0)</f>
        <v>1</v>
      </c>
      <c r="P16" s="97"/>
      <c r="Q16" s="98">
        <f>IFERROR(__xludf.DUMMYFUNCTION("""COMPUTED_VALUE"""),5.0)</f>
        <v>5</v>
      </c>
      <c r="R16" s="78"/>
      <c r="S16" s="97"/>
      <c r="T16" s="78"/>
      <c r="U16" s="96">
        <f>IFERROR(__xludf.DUMMYFUNCTION("""COMPUTED_VALUE"""),4.5)</f>
        <v>4.5</v>
      </c>
      <c r="V16" s="97"/>
      <c r="W16" s="96"/>
      <c r="X16" s="97">
        <f>IFERROR(__xludf.DUMMYFUNCTION("""COMPUTED_VALUE"""),4.8)</f>
        <v>4.8</v>
      </c>
      <c r="Y16" s="78">
        <f>IFERROR(__xludf.DUMMYFUNCTION("""COMPUTED_VALUE"""),5.0)</f>
        <v>5</v>
      </c>
      <c r="Z16" s="78">
        <f>IFERROR(__xludf.DUMMYFUNCTION("""COMPUTED_VALUE"""),5.0)</f>
        <v>5</v>
      </c>
      <c r="AA16" s="78">
        <f>IFERROR(__xludf.DUMMYFUNCTION("""COMPUTED_VALUE"""),3.33)</f>
        <v>3.33</v>
      </c>
      <c r="AB16" s="98">
        <f>IFERROR(__xludf.DUMMYFUNCTION("""COMPUTED_VALUE"""),4.81)</f>
        <v>4.81</v>
      </c>
      <c r="AC16" s="98">
        <f>IFERROR(__xludf.DUMMYFUNCTION("""COMPUTED_VALUE"""),5.0)</f>
        <v>5</v>
      </c>
      <c r="AD16" s="78">
        <f>IFERROR(__xludf.DUMMYFUNCTION("""COMPUTED_VALUE"""),5.0)</f>
        <v>5</v>
      </c>
      <c r="AE16" s="99">
        <f>IFERROR(__xludf.DUMMYFUNCTION("""COMPUTED_VALUE"""),4.66)</f>
        <v>4.66</v>
      </c>
      <c r="AF16" s="97">
        <f>IFERROR(__xludf.DUMMYFUNCTION("""COMPUTED_VALUE"""),8.0)</f>
        <v>8</v>
      </c>
      <c r="AG16" s="78">
        <f>IFERROR(__xludf.DUMMYFUNCTION("""COMPUTED_VALUE"""),7.75)</f>
        <v>7.75</v>
      </c>
      <c r="AH16" s="78">
        <f>IFERROR(__xludf.DUMMYFUNCTION("""COMPUTED_VALUE"""),8.0)</f>
        <v>8</v>
      </c>
      <c r="AI16" s="100">
        <f>IFERROR(__xludf.DUMMYFUNCTION("""COMPUTED_VALUE"""),4.0)</f>
        <v>4</v>
      </c>
      <c r="AJ16" s="101">
        <f>IFERROR(__xludf.DUMMYFUNCTION("""COMPUTED_VALUE"""),0.0)</f>
        <v>0</v>
      </c>
      <c r="AK16" s="78">
        <f>IFERROR(__xludf.DUMMYFUNCTION("""COMPUTED_VALUE"""),15.834)</f>
        <v>15.834</v>
      </c>
      <c r="AL16" s="78">
        <f>IFERROR(__xludf.DUMMYFUNCTION("""COMPUTED_VALUE"""),2.85)</f>
        <v>2.85</v>
      </c>
      <c r="AM16" s="98">
        <f>IFERROR(__xludf.DUMMYFUNCTION("""COMPUTED_VALUE"""),1.88)</f>
        <v>1.88</v>
      </c>
      <c r="AN16" s="93">
        <f>IFERROR(__xludf.DUMMYFUNCTION("""COMPUTED_VALUE"""),20.75)</f>
        <v>20.75</v>
      </c>
      <c r="AO16" s="1"/>
      <c r="AP16" s="1"/>
      <c r="AQ16" s="1"/>
      <c r="AR16" s="1"/>
      <c r="AS16" s="1"/>
      <c r="AT16" s="1"/>
      <c r="AU16" s="1"/>
      <c r="AV16" s="1"/>
      <c r="AW16" s="1"/>
      <c r="AX16" s="1">
        <f>IFERROR(__xludf.DUMMYFUNCTION("""COMPUTED_VALUE"""),2.0)</f>
        <v>2</v>
      </c>
    </row>
    <row r="17">
      <c r="A17" s="78">
        <f>IFERROR(__xludf.DUMMYFUNCTION("""COMPUTED_VALUE"""),9.0)</f>
        <v>9</v>
      </c>
      <c r="B17" s="78" t="str">
        <f>IFERROR(__xludf.DUMMYFUNCTION("""COMPUTED_VALUE"""),"1000055645")</f>
        <v>1000055645</v>
      </c>
      <c r="C17" s="79" t="str">
        <f>IFERROR(__xludf.DUMMYFUNCTION("""COMPUTED_VALUE"""),"Arijit Debnath")</f>
        <v>Arijit Debnath</v>
      </c>
      <c r="D17" s="80" t="str">
        <f>IFERROR(__xludf.DUMMYFUNCTION("""COMPUTED_VALUE"""),"arijit.debnath@g.bracu.ac.bd")</f>
        <v>arijit.debnath@g.bracu.ac.bd</v>
      </c>
      <c r="E17" s="94" t="b">
        <f>IFERROR(__xludf.DUMMYFUNCTION("""COMPUTED_VALUE"""),TRUE)</f>
        <v>1</v>
      </c>
      <c r="F17" s="95">
        <f>IFERROR(__xludf.DUMMYFUNCTION("""COMPUTED_VALUE"""),0.0)</f>
        <v>0</v>
      </c>
      <c r="G17" s="96" t="str">
        <f>IFERROR(__xludf.DUMMYFUNCTION("""COMPUTED_VALUE"""),"OKAY")</f>
        <v>OKAY</v>
      </c>
      <c r="H17" s="95">
        <f>IFERROR(__xludf.DUMMYFUNCTION("""COMPUTED_VALUE"""),1.0)</f>
        <v>1</v>
      </c>
      <c r="I17" s="78">
        <f>IFERROR(__xludf.DUMMYFUNCTION("""COMPUTED_VALUE"""),1.0)</f>
        <v>1</v>
      </c>
      <c r="J17" s="78">
        <f>IFERROR(__xludf.DUMMYFUNCTION("""COMPUTED_VALUE"""),1.0)</f>
        <v>1</v>
      </c>
      <c r="K17" s="78">
        <f>IFERROR(__xludf.DUMMYFUNCTION("""COMPUTED_VALUE"""),1.0)</f>
        <v>1</v>
      </c>
      <c r="L17" s="78">
        <f>IFERROR(__xludf.DUMMYFUNCTION("""COMPUTED_VALUE"""),1.0)</f>
        <v>1</v>
      </c>
      <c r="M17" s="78">
        <f>IFERROR(__xludf.DUMMYFUNCTION("""COMPUTED_VALUE"""),1.0)</f>
        <v>1</v>
      </c>
      <c r="N17" s="78">
        <f>IFERROR(__xludf.DUMMYFUNCTION("""COMPUTED_VALUE"""),1.0)</f>
        <v>1</v>
      </c>
      <c r="O17" s="96">
        <f>IFERROR(__xludf.DUMMYFUNCTION("""COMPUTED_VALUE"""),1.0)</f>
        <v>1</v>
      </c>
      <c r="P17" s="97"/>
      <c r="Q17" s="98">
        <f>IFERROR(__xludf.DUMMYFUNCTION("""COMPUTED_VALUE"""),5.0)</f>
        <v>5</v>
      </c>
      <c r="R17" s="78"/>
      <c r="S17" s="97"/>
      <c r="T17" s="78"/>
      <c r="U17" s="96">
        <f>IFERROR(__xludf.DUMMYFUNCTION("""COMPUTED_VALUE"""),5.0)</f>
        <v>5</v>
      </c>
      <c r="V17" s="97"/>
      <c r="W17" s="96"/>
      <c r="X17" s="97">
        <f>IFERROR(__xludf.DUMMYFUNCTION("""COMPUTED_VALUE"""),4.7)</f>
        <v>4.7</v>
      </c>
      <c r="Y17" s="78">
        <f>IFERROR(__xludf.DUMMYFUNCTION("""COMPUTED_VALUE"""),5.0)</f>
        <v>5</v>
      </c>
      <c r="Z17" s="78">
        <f>IFERROR(__xludf.DUMMYFUNCTION("""COMPUTED_VALUE"""),5.0)</f>
        <v>5</v>
      </c>
      <c r="AA17" s="78">
        <f>IFERROR(__xludf.DUMMYFUNCTION("""COMPUTED_VALUE"""),3.33)</f>
        <v>3.33</v>
      </c>
      <c r="AB17" s="98">
        <f>IFERROR(__xludf.DUMMYFUNCTION("""COMPUTED_VALUE"""),5.0)</f>
        <v>5</v>
      </c>
      <c r="AC17" s="98">
        <f>IFERROR(__xludf.DUMMYFUNCTION("""COMPUTED_VALUE"""),5.0)</f>
        <v>5</v>
      </c>
      <c r="AD17" s="78">
        <f>IFERROR(__xludf.DUMMYFUNCTION("""COMPUTED_VALUE"""),5.0)</f>
        <v>5</v>
      </c>
      <c r="AE17" s="99">
        <f>IFERROR(__xludf.DUMMYFUNCTION("""COMPUTED_VALUE"""),5.0)</f>
        <v>5</v>
      </c>
      <c r="AF17" s="97">
        <f>IFERROR(__xludf.DUMMYFUNCTION("""COMPUTED_VALUE"""),10.0)</f>
        <v>10</v>
      </c>
      <c r="AG17" s="78">
        <f>IFERROR(__xludf.DUMMYFUNCTION("""COMPUTED_VALUE"""),9.5)</f>
        <v>9.5</v>
      </c>
      <c r="AH17" s="78">
        <f>IFERROR(__xludf.DUMMYFUNCTION("""COMPUTED_VALUE"""),10.0)</f>
        <v>10</v>
      </c>
      <c r="AI17" s="100">
        <f>IFERROR(__xludf.DUMMYFUNCTION("""COMPUTED_VALUE"""),5.0)</f>
        <v>5</v>
      </c>
      <c r="AJ17" s="101">
        <f>IFERROR(__xludf.DUMMYFUNCTION("""COMPUTED_VALUE"""),0.0)</f>
        <v>0</v>
      </c>
      <c r="AK17" s="78">
        <f>IFERROR(__xludf.DUMMYFUNCTION("""COMPUTED_VALUE"""),19.667)</f>
        <v>19.667</v>
      </c>
      <c r="AL17" s="78">
        <f>IFERROR(__xludf.DUMMYFUNCTION("""COMPUTED_VALUE"""),3.0)</f>
        <v>3</v>
      </c>
      <c r="AM17" s="98">
        <f>IFERROR(__xludf.DUMMYFUNCTION("""COMPUTED_VALUE"""),1.902)</f>
        <v>1.902</v>
      </c>
      <c r="AN17" s="93">
        <f>IFERROR(__xludf.DUMMYFUNCTION("""COMPUTED_VALUE"""),24.75)</f>
        <v>24.75</v>
      </c>
      <c r="AO17" s="1"/>
      <c r="AP17" s="1"/>
      <c r="AQ17" s="1"/>
      <c r="AR17" s="1"/>
      <c r="AS17" s="1"/>
      <c r="AT17" s="1"/>
      <c r="AU17" s="1"/>
      <c r="AV17" s="1"/>
      <c r="AW17" s="1"/>
      <c r="AX17" s="1">
        <f>IFERROR(__xludf.DUMMYFUNCTION("""COMPUTED_VALUE"""),2.0)</f>
        <v>2</v>
      </c>
    </row>
    <row r="18">
      <c r="A18" s="78">
        <f>IFERROR(__xludf.DUMMYFUNCTION("""COMPUTED_VALUE"""),10.0)</f>
        <v>10</v>
      </c>
      <c r="B18" s="78" t="str">
        <f>IFERROR(__xludf.DUMMYFUNCTION("""COMPUTED_VALUE"""),"1000055848")</f>
        <v>1000055848</v>
      </c>
      <c r="C18" s="79" t="str">
        <f>IFERROR(__xludf.DUMMYFUNCTION("""COMPUTED_VALUE"""),"Ayesha Khan Riham")</f>
        <v>Ayesha Khan Riham</v>
      </c>
      <c r="D18" s="80" t="str">
        <f>IFERROR(__xludf.DUMMYFUNCTION("""COMPUTED_VALUE"""),"ayehsa.khan.riham@g.bracu.ac.bd")</f>
        <v>ayehsa.khan.riham@g.bracu.ac.bd</v>
      </c>
      <c r="E18" s="94" t="b">
        <f>IFERROR(__xludf.DUMMYFUNCTION("""COMPUTED_VALUE"""),TRUE)</f>
        <v>1</v>
      </c>
      <c r="F18" s="95">
        <f>IFERROR(__xludf.DUMMYFUNCTION("""COMPUTED_VALUE"""),1.0)</f>
        <v>1</v>
      </c>
      <c r="G18" s="96" t="str">
        <f>IFERROR(__xludf.DUMMYFUNCTION("""COMPUTED_VALUE"""),"WARNING")</f>
        <v>WARNING</v>
      </c>
      <c r="H18" s="95">
        <f>IFERROR(__xludf.DUMMYFUNCTION("""COMPUTED_VALUE"""),1.0)</f>
        <v>1</v>
      </c>
      <c r="I18" s="78">
        <f>IFERROR(__xludf.DUMMYFUNCTION("""COMPUTED_VALUE"""),1.0)</f>
        <v>1</v>
      </c>
      <c r="J18" s="78">
        <f>IFERROR(__xludf.DUMMYFUNCTION("""COMPUTED_VALUE"""),1.0)</f>
        <v>1</v>
      </c>
      <c r="K18" s="78">
        <f>IFERROR(__xludf.DUMMYFUNCTION("""COMPUTED_VALUE"""),1.0)</f>
        <v>1</v>
      </c>
      <c r="L18" s="78" t="str">
        <f>IFERROR(__xludf.DUMMYFUNCTION("""COMPUTED_VALUE"""),"S")</f>
        <v>S</v>
      </c>
      <c r="M18" s="78">
        <f>IFERROR(__xludf.DUMMYFUNCTION("""COMPUTED_VALUE"""),1.0)</f>
        <v>1</v>
      </c>
      <c r="N18" s="78">
        <f>IFERROR(__xludf.DUMMYFUNCTION("""COMPUTED_VALUE"""),0.0)</f>
        <v>0</v>
      </c>
      <c r="O18" s="96">
        <f>IFERROR(__xludf.DUMMYFUNCTION("""COMPUTED_VALUE"""),1.0)</f>
        <v>1</v>
      </c>
      <c r="P18" s="97"/>
      <c r="Q18" s="98">
        <f>IFERROR(__xludf.DUMMYFUNCTION("""COMPUTED_VALUE"""),5.0)</f>
        <v>5</v>
      </c>
      <c r="R18" s="78"/>
      <c r="S18" s="97"/>
      <c r="T18" s="78"/>
      <c r="U18" s="96">
        <f>IFERROR(__xludf.DUMMYFUNCTION("""COMPUTED_VALUE"""),1.0)</f>
        <v>1</v>
      </c>
      <c r="V18" s="97"/>
      <c r="W18" s="96"/>
      <c r="X18" s="97">
        <f>IFERROR(__xludf.DUMMYFUNCTION("""COMPUTED_VALUE"""),0.0)</f>
        <v>0</v>
      </c>
      <c r="Y18" s="78">
        <f>IFERROR(__xludf.DUMMYFUNCTION("""COMPUTED_VALUE"""),0.0)</f>
        <v>0</v>
      </c>
      <c r="Z18" s="78">
        <f>IFERROR(__xludf.DUMMYFUNCTION("""COMPUTED_VALUE"""),5.0)</f>
        <v>5</v>
      </c>
      <c r="AA18" s="78">
        <f>IFERROR(__xludf.DUMMYFUNCTION("""COMPUTED_VALUE"""),0.0)</f>
        <v>0</v>
      </c>
      <c r="AB18" s="98"/>
      <c r="AC18" s="98">
        <f>IFERROR(__xludf.DUMMYFUNCTION("""COMPUTED_VALUE"""),0.0)</f>
        <v>0</v>
      </c>
      <c r="AD18" s="78">
        <f>IFERROR(__xludf.DUMMYFUNCTION("""COMPUTED_VALUE"""),0.0)</f>
        <v>0</v>
      </c>
      <c r="AE18" s="99"/>
      <c r="AF18" s="97">
        <f>IFERROR(__xludf.DUMMYFUNCTION("""COMPUTED_VALUE"""),10.0)</f>
        <v>10</v>
      </c>
      <c r="AG18" s="78">
        <f>IFERROR(__xludf.DUMMYFUNCTION("""COMPUTED_VALUE"""),4.5)</f>
        <v>4.5</v>
      </c>
      <c r="AH18" s="78"/>
      <c r="AI18" s="100"/>
      <c r="AJ18" s="101">
        <f>IFERROR(__xludf.DUMMYFUNCTION("""COMPUTED_VALUE"""),0.0)</f>
        <v>0</v>
      </c>
      <c r="AK18" s="78">
        <f>IFERROR(__xludf.DUMMYFUNCTION("""COMPUTED_VALUE"""),9.667)</f>
        <v>9.667</v>
      </c>
      <c r="AL18" s="78">
        <f>IFERROR(__xludf.DUMMYFUNCTION("""COMPUTED_VALUE"""),1.8)</f>
        <v>1.8</v>
      </c>
      <c r="AM18" s="98">
        <f>IFERROR(__xludf.DUMMYFUNCTION("""COMPUTED_VALUE"""),0.25)</f>
        <v>0.25</v>
      </c>
      <c r="AN18" s="93">
        <f>IFERROR(__xludf.DUMMYFUNCTION("""COMPUTED_VALUE"""),11.75)</f>
        <v>11.75</v>
      </c>
      <c r="AO18" s="1"/>
      <c r="AP18" s="1"/>
      <c r="AQ18" s="1"/>
      <c r="AR18" s="1"/>
      <c r="AS18" s="1"/>
      <c r="AT18" s="1"/>
      <c r="AU18" s="1"/>
      <c r="AV18" s="1"/>
      <c r="AW18" s="1"/>
      <c r="AX18" s="1">
        <f>IFERROR(__xludf.DUMMYFUNCTION("""COMPUTED_VALUE"""),2.0)</f>
        <v>2</v>
      </c>
    </row>
    <row r="19">
      <c r="A19" s="78">
        <f>IFERROR(__xludf.DUMMYFUNCTION("""COMPUTED_VALUE"""),11.0)</f>
        <v>11</v>
      </c>
      <c r="B19" s="78" t="str">
        <f>IFERROR(__xludf.DUMMYFUNCTION("""COMPUTED_VALUE"""),"1000056012")</f>
        <v>1000056012</v>
      </c>
      <c r="C19" s="79" t="str">
        <f>IFERROR(__xludf.DUMMYFUNCTION("""COMPUTED_VALUE"""),"Shah Mustaghfir Billah Nabil")</f>
        <v>Shah Mustaghfir Billah Nabil</v>
      </c>
      <c r="D19" s="80" t="str">
        <f>IFERROR(__xludf.DUMMYFUNCTION("""COMPUTED_VALUE"""),"mustaghfir.billah.nabil@g.bracu.ac.bd")</f>
        <v>mustaghfir.billah.nabil@g.bracu.ac.bd</v>
      </c>
      <c r="E19" s="94" t="b">
        <f>IFERROR(__xludf.DUMMYFUNCTION("""COMPUTED_VALUE"""),TRUE)</f>
        <v>1</v>
      </c>
      <c r="F19" s="95">
        <f>IFERROR(__xludf.DUMMYFUNCTION("""COMPUTED_VALUE"""),0.0)</f>
        <v>0</v>
      </c>
      <c r="G19" s="96" t="str">
        <f>IFERROR(__xludf.DUMMYFUNCTION("""COMPUTED_VALUE"""),"OKAY")</f>
        <v>OKAY</v>
      </c>
      <c r="H19" s="95">
        <f>IFERROR(__xludf.DUMMYFUNCTION("""COMPUTED_VALUE"""),1.0)</f>
        <v>1</v>
      </c>
      <c r="I19" s="78">
        <f>IFERROR(__xludf.DUMMYFUNCTION("""COMPUTED_VALUE"""),1.0)</f>
        <v>1</v>
      </c>
      <c r="J19" s="102">
        <f>IFERROR(__xludf.DUMMYFUNCTION("""COMPUTED_VALUE"""),1.0)</f>
        <v>1</v>
      </c>
      <c r="K19" s="78">
        <f>IFERROR(__xludf.DUMMYFUNCTION("""COMPUTED_VALUE"""),1.0)</f>
        <v>1</v>
      </c>
      <c r="L19" s="78" t="str">
        <f>IFERROR(__xludf.DUMMYFUNCTION("""COMPUTED_VALUE"""),"S")</f>
        <v>S</v>
      </c>
      <c r="M19" s="78">
        <f>IFERROR(__xludf.DUMMYFUNCTION("""COMPUTED_VALUE"""),1.0)</f>
        <v>1</v>
      </c>
      <c r="N19" s="78">
        <f>IFERROR(__xludf.DUMMYFUNCTION("""COMPUTED_VALUE"""),1.0)</f>
        <v>1</v>
      </c>
      <c r="O19" s="96">
        <f>IFERROR(__xludf.DUMMYFUNCTION("""COMPUTED_VALUE"""),1.0)</f>
        <v>1</v>
      </c>
      <c r="P19" s="97"/>
      <c r="Q19" s="98">
        <f>IFERROR(__xludf.DUMMYFUNCTION("""COMPUTED_VALUE"""),5.0)</f>
        <v>5</v>
      </c>
      <c r="R19" s="78"/>
      <c r="S19" s="97"/>
      <c r="T19" s="78"/>
      <c r="U19" s="96">
        <f>IFERROR(__xludf.DUMMYFUNCTION("""COMPUTED_VALUE"""),5.0)</f>
        <v>5</v>
      </c>
      <c r="V19" s="97"/>
      <c r="W19" s="96"/>
      <c r="X19" s="97">
        <f>IFERROR(__xludf.DUMMYFUNCTION("""COMPUTED_VALUE"""),5.0)</f>
        <v>5</v>
      </c>
      <c r="Y19" s="78">
        <f>IFERROR(__xludf.DUMMYFUNCTION("""COMPUTED_VALUE"""),5.0)</f>
        <v>5</v>
      </c>
      <c r="Z19" s="78">
        <f>IFERROR(__xludf.DUMMYFUNCTION("""COMPUTED_VALUE"""),5.0)</f>
        <v>5</v>
      </c>
      <c r="AA19" s="78">
        <f>IFERROR(__xludf.DUMMYFUNCTION("""COMPUTED_VALUE"""),5.0)</f>
        <v>5</v>
      </c>
      <c r="AB19" s="98">
        <f>IFERROR(__xludf.DUMMYFUNCTION("""COMPUTED_VALUE"""),5.0)</f>
        <v>5</v>
      </c>
      <c r="AC19" s="98">
        <f>IFERROR(__xludf.DUMMYFUNCTION("""COMPUTED_VALUE"""),5.0)</f>
        <v>5</v>
      </c>
      <c r="AD19" s="78">
        <f>IFERROR(__xludf.DUMMYFUNCTION("""COMPUTED_VALUE"""),5.0)</f>
        <v>5</v>
      </c>
      <c r="AE19" s="99">
        <f>IFERROR(__xludf.DUMMYFUNCTION("""COMPUTED_VALUE"""),4.75)</f>
        <v>4.75</v>
      </c>
      <c r="AF19" s="97">
        <f>IFERROR(__xludf.DUMMYFUNCTION("""COMPUTED_VALUE"""),10.0)</f>
        <v>10</v>
      </c>
      <c r="AG19" s="78">
        <f>IFERROR(__xludf.DUMMYFUNCTION("""COMPUTED_VALUE"""),10.0)</f>
        <v>10</v>
      </c>
      <c r="AH19" s="78">
        <f>IFERROR(__xludf.DUMMYFUNCTION("""COMPUTED_VALUE"""),10.0)</f>
        <v>10</v>
      </c>
      <c r="AI19" s="100">
        <f>IFERROR(__xludf.DUMMYFUNCTION("""COMPUTED_VALUE"""),5.0)</f>
        <v>5</v>
      </c>
      <c r="AJ19" s="101">
        <f>IFERROR(__xludf.DUMMYFUNCTION("""COMPUTED_VALUE"""),0.0)</f>
        <v>0</v>
      </c>
      <c r="AK19" s="78">
        <f>IFERROR(__xludf.DUMMYFUNCTION("""COMPUTED_VALUE"""),20.0)</f>
        <v>20</v>
      </c>
      <c r="AL19" s="78">
        <f>IFERROR(__xludf.DUMMYFUNCTION("""COMPUTED_VALUE"""),3.0)</f>
        <v>3</v>
      </c>
      <c r="AM19" s="98">
        <f>IFERROR(__xludf.DUMMYFUNCTION("""COMPUTED_VALUE"""),1.988)</f>
        <v>1.988</v>
      </c>
      <c r="AN19" s="93">
        <f>IFERROR(__xludf.DUMMYFUNCTION("""COMPUTED_VALUE"""),25.0)</f>
        <v>25</v>
      </c>
      <c r="AO19" s="1"/>
      <c r="AP19" s="1"/>
      <c r="AQ19" s="1"/>
      <c r="AR19" s="1"/>
      <c r="AS19" s="1"/>
      <c r="AT19" s="1"/>
      <c r="AU19" s="1"/>
      <c r="AV19" s="1"/>
      <c r="AW19" s="1"/>
      <c r="AX19" s="1">
        <f>IFERROR(__xludf.DUMMYFUNCTION("""COMPUTED_VALUE"""),2.0)</f>
        <v>2</v>
      </c>
    </row>
    <row r="20">
      <c r="A20" s="78">
        <f>IFERROR(__xludf.DUMMYFUNCTION("""COMPUTED_VALUE"""),12.0)</f>
        <v>12</v>
      </c>
      <c r="B20" s="78" t="str">
        <f>IFERROR(__xludf.DUMMYFUNCTION("""COMPUTED_VALUE"""),"1000056584")</f>
        <v>1000056584</v>
      </c>
      <c r="C20" s="79" t="str">
        <f>IFERROR(__xludf.DUMMYFUNCTION("""COMPUTED_VALUE"""),"Arham Kabir")</f>
        <v>Arham Kabir</v>
      </c>
      <c r="D20" s="80" t="str">
        <f>IFERROR(__xludf.DUMMYFUNCTION("""COMPUTED_VALUE"""),"arham.kabir@g.bracu.ac.bd")</f>
        <v>arham.kabir@g.bracu.ac.bd</v>
      </c>
      <c r="E20" s="94" t="b">
        <f>IFERROR(__xludf.DUMMYFUNCTION("""COMPUTED_VALUE"""),TRUE)</f>
        <v>1</v>
      </c>
      <c r="F20" s="95">
        <f>IFERROR(__xludf.DUMMYFUNCTION("""COMPUTED_VALUE"""),1.0)</f>
        <v>1</v>
      </c>
      <c r="G20" s="96" t="str">
        <f>IFERROR(__xludf.DUMMYFUNCTION("""COMPUTED_VALUE"""),"WARNING")</f>
        <v>WARNING</v>
      </c>
      <c r="H20" s="95">
        <f>IFERROR(__xludf.DUMMYFUNCTION("""COMPUTED_VALUE"""),1.0)</f>
        <v>1</v>
      </c>
      <c r="I20" s="78">
        <f>IFERROR(__xludf.DUMMYFUNCTION("""COMPUTED_VALUE"""),1.0)</f>
        <v>1</v>
      </c>
      <c r="J20" s="78">
        <f>IFERROR(__xludf.DUMMYFUNCTION("""COMPUTED_VALUE"""),1.0)</f>
        <v>1</v>
      </c>
      <c r="K20" s="78">
        <f>IFERROR(__xludf.DUMMYFUNCTION("""COMPUTED_VALUE"""),0.0)</f>
        <v>0</v>
      </c>
      <c r="L20" s="78">
        <f>IFERROR(__xludf.DUMMYFUNCTION("""COMPUTED_VALUE"""),1.0)</f>
        <v>1</v>
      </c>
      <c r="M20" s="78">
        <f>IFERROR(__xludf.DUMMYFUNCTION("""COMPUTED_VALUE"""),1.0)</f>
        <v>1</v>
      </c>
      <c r="N20" s="78">
        <f>IFERROR(__xludf.DUMMYFUNCTION("""COMPUTED_VALUE"""),1.0)</f>
        <v>1</v>
      </c>
      <c r="O20" s="96">
        <f>IFERROR(__xludf.DUMMYFUNCTION("""COMPUTED_VALUE"""),1.0)</f>
        <v>1</v>
      </c>
      <c r="P20" s="97"/>
      <c r="Q20" s="98">
        <f>IFERROR(__xludf.DUMMYFUNCTION("""COMPUTED_VALUE"""),5.0)</f>
        <v>5</v>
      </c>
      <c r="R20" s="78"/>
      <c r="S20" s="97"/>
      <c r="T20" s="78"/>
      <c r="U20" s="96">
        <f>IFERROR(__xludf.DUMMYFUNCTION("""COMPUTED_VALUE"""),5.0)</f>
        <v>5</v>
      </c>
      <c r="V20" s="97"/>
      <c r="W20" s="96"/>
      <c r="X20" s="97">
        <f>IFERROR(__xludf.DUMMYFUNCTION("""COMPUTED_VALUE"""),5.0)</f>
        <v>5</v>
      </c>
      <c r="Y20" s="78">
        <f>IFERROR(__xludf.DUMMYFUNCTION("""COMPUTED_VALUE"""),4.16)</f>
        <v>4.16</v>
      </c>
      <c r="Z20" s="78">
        <f>IFERROR(__xludf.DUMMYFUNCTION("""COMPUTED_VALUE"""),5.0)</f>
        <v>5</v>
      </c>
      <c r="AA20" s="78">
        <f>IFERROR(__xludf.DUMMYFUNCTION("""COMPUTED_VALUE"""),1.67)</f>
        <v>1.67</v>
      </c>
      <c r="AB20" s="98">
        <f>IFERROR(__xludf.DUMMYFUNCTION("""COMPUTED_VALUE"""),3.58)</f>
        <v>3.58</v>
      </c>
      <c r="AC20" s="98">
        <f>IFERROR(__xludf.DUMMYFUNCTION("""COMPUTED_VALUE"""),5.0)</f>
        <v>5</v>
      </c>
      <c r="AD20" s="78">
        <f>IFERROR(__xludf.DUMMYFUNCTION("""COMPUTED_VALUE"""),1.67)</f>
        <v>1.67</v>
      </c>
      <c r="AE20" s="99">
        <f>IFERROR(__xludf.DUMMYFUNCTION("""COMPUTED_VALUE"""),4.75)</f>
        <v>4.75</v>
      </c>
      <c r="AF20" s="97">
        <f>IFERROR(__xludf.DUMMYFUNCTION("""COMPUTED_VALUE"""),10.0)</f>
        <v>10</v>
      </c>
      <c r="AG20" s="78">
        <f>IFERROR(__xludf.DUMMYFUNCTION("""COMPUTED_VALUE"""),9.75)</f>
        <v>9.75</v>
      </c>
      <c r="AH20" s="78">
        <f>IFERROR(__xludf.DUMMYFUNCTION("""COMPUTED_VALUE"""),10.0)</f>
        <v>10</v>
      </c>
      <c r="AI20" s="100">
        <f>IFERROR(__xludf.DUMMYFUNCTION("""COMPUTED_VALUE"""),9.0)</f>
        <v>9</v>
      </c>
      <c r="AJ20" s="101">
        <f>IFERROR(__xludf.DUMMYFUNCTION("""COMPUTED_VALUE"""),0.0)</f>
        <v>0</v>
      </c>
      <c r="AK20" s="78">
        <f>IFERROR(__xludf.DUMMYFUNCTION("""COMPUTED_VALUE"""),19.834)</f>
        <v>19.834</v>
      </c>
      <c r="AL20" s="78">
        <f>IFERROR(__xludf.DUMMYFUNCTION("""COMPUTED_VALUE"""),3.0)</f>
        <v>3</v>
      </c>
      <c r="AM20" s="98">
        <f>IFERROR(__xludf.DUMMYFUNCTION("""COMPUTED_VALUE"""),1.542)</f>
        <v>1.542</v>
      </c>
      <c r="AN20" s="93">
        <f>IFERROR(__xludf.DUMMYFUNCTION("""COMPUTED_VALUE"""),24.5)</f>
        <v>24.5</v>
      </c>
      <c r="AO20" s="1"/>
      <c r="AP20" s="1"/>
      <c r="AQ20" s="1"/>
      <c r="AR20" s="1"/>
      <c r="AS20" s="1"/>
      <c r="AT20" s="1"/>
      <c r="AU20" s="1"/>
      <c r="AV20" s="1"/>
      <c r="AW20" s="1"/>
      <c r="AX20" s="1">
        <f>IFERROR(__xludf.DUMMYFUNCTION("""COMPUTED_VALUE"""),2.0)</f>
        <v>2</v>
      </c>
    </row>
    <row r="21">
      <c r="A21" s="78">
        <f>IFERROR(__xludf.DUMMYFUNCTION("""COMPUTED_VALUE"""),13.0)</f>
        <v>13</v>
      </c>
      <c r="B21" s="78" t="str">
        <f>IFERROR(__xludf.DUMMYFUNCTION("""COMPUTED_VALUE"""),"1000057482")</f>
        <v>1000057482</v>
      </c>
      <c r="C21" s="79" t="str">
        <f>IFERROR(__xludf.DUMMYFUNCTION("""COMPUTED_VALUE"""),"Md. Arafath Hossain")</f>
        <v>Md. Arafath Hossain</v>
      </c>
      <c r="D21" s="80" t="str">
        <f>IFERROR(__xludf.DUMMYFUNCTION("""COMPUTED_VALUE"""),"md.arafath.hossain@g.bracu.ac.bd")</f>
        <v>md.arafath.hossain@g.bracu.ac.bd</v>
      </c>
      <c r="E21" s="94" t="b">
        <f>IFERROR(__xludf.DUMMYFUNCTION("""COMPUTED_VALUE"""),TRUE)</f>
        <v>1</v>
      </c>
      <c r="F21" s="95">
        <f>IFERROR(__xludf.DUMMYFUNCTION("""COMPUTED_VALUE"""),0.0)</f>
        <v>0</v>
      </c>
      <c r="G21" s="96" t="str">
        <f>IFERROR(__xludf.DUMMYFUNCTION("""COMPUTED_VALUE"""),"OKAY")</f>
        <v>OKAY</v>
      </c>
      <c r="H21" s="95">
        <f>IFERROR(__xludf.DUMMYFUNCTION("""COMPUTED_VALUE"""),1.0)</f>
        <v>1</v>
      </c>
      <c r="I21" s="78">
        <f>IFERROR(__xludf.DUMMYFUNCTION("""COMPUTED_VALUE"""),1.0)</f>
        <v>1</v>
      </c>
      <c r="J21" s="78">
        <f>IFERROR(__xludf.DUMMYFUNCTION("""COMPUTED_VALUE"""),1.0)</f>
        <v>1</v>
      </c>
      <c r="K21" s="78">
        <f>IFERROR(__xludf.DUMMYFUNCTION("""COMPUTED_VALUE"""),1.0)</f>
        <v>1</v>
      </c>
      <c r="L21" s="78">
        <f>IFERROR(__xludf.DUMMYFUNCTION("""COMPUTED_VALUE"""),1.0)</f>
        <v>1</v>
      </c>
      <c r="M21" s="78">
        <f>IFERROR(__xludf.DUMMYFUNCTION("""COMPUTED_VALUE"""),1.0)</f>
        <v>1</v>
      </c>
      <c r="N21" s="78">
        <f>IFERROR(__xludf.DUMMYFUNCTION("""COMPUTED_VALUE"""),1.0)</f>
        <v>1</v>
      </c>
      <c r="O21" s="96">
        <f>IFERROR(__xludf.DUMMYFUNCTION("""COMPUTED_VALUE"""),1.0)</f>
        <v>1</v>
      </c>
      <c r="P21" s="97"/>
      <c r="Q21" s="98">
        <f>IFERROR(__xludf.DUMMYFUNCTION("""COMPUTED_VALUE"""),5.0)</f>
        <v>5</v>
      </c>
      <c r="R21" s="78"/>
      <c r="S21" s="97"/>
      <c r="T21" s="78"/>
      <c r="U21" s="96">
        <f>IFERROR(__xludf.DUMMYFUNCTION("""COMPUTED_VALUE"""),4.0)</f>
        <v>4</v>
      </c>
      <c r="V21" s="97"/>
      <c r="W21" s="96"/>
      <c r="X21" s="97">
        <f>IFERROR(__xludf.DUMMYFUNCTION("""COMPUTED_VALUE"""),3.8)</f>
        <v>3.8</v>
      </c>
      <c r="Y21" s="78">
        <f>IFERROR(__xludf.DUMMYFUNCTION("""COMPUTED_VALUE"""),5.0)</f>
        <v>5</v>
      </c>
      <c r="Z21" s="78">
        <f>IFERROR(__xludf.DUMMYFUNCTION("""COMPUTED_VALUE"""),3.33)</f>
        <v>3.33</v>
      </c>
      <c r="AA21" s="78">
        <f>IFERROR(__xludf.DUMMYFUNCTION("""COMPUTED_VALUE"""),4.17)</f>
        <v>4.17</v>
      </c>
      <c r="AB21" s="98">
        <f>IFERROR(__xludf.DUMMYFUNCTION("""COMPUTED_VALUE"""),1.43)</f>
        <v>1.43</v>
      </c>
      <c r="AC21" s="98">
        <f>IFERROR(__xludf.DUMMYFUNCTION("""COMPUTED_VALUE"""),5.0)</f>
        <v>5</v>
      </c>
      <c r="AD21" s="78">
        <f>IFERROR(__xludf.DUMMYFUNCTION("""COMPUTED_VALUE"""),5.0)</f>
        <v>5</v>
      </c>
      <c r="AE21" s="99">
        <f>IFERROR(__xludf.DUMMYFUNCTION("""COMPUTED_VALUE"""),5.0)</f>
        <v>5</v>
      </c>
      <c r="AF21" s="97">
        <f>IFERROR(__xludf.DUMMYFUNCTION("""COMPUTED_VALUE"""),9.5)</f>
        <v>9.5</v>
      </c>
      <c r="AG21" s="78">
        <f>IFERROR(__xludf.DUMMYFUNCTION("""COMPUTED_VALUE"""),9.75)</f>
        <v>9.75</v>
      </c>
      <c r="AH21" s="78">
        <f>IFERROR(__xludf.DUMMYFUNCTION("""COMPUTED_VALUE"""),9.5)</f>
        <v>9.5</v>
      </c>
      <c r="AI21" s="100">
        <f>IFERROR(__xludf.DUMMYFUNCTION("""COMPUTED_VALUE"""),7.0)</f>
        <v>7</v>
      </c>
      <c r="AJ21" s="101">
        <f>IFERROR(__xludf.DUMMYFUNCTION("""COMPUTED_VALUE"""),0.0)</f>
        <v>0</v>
      </c>
      <c r="AK21" s="78">
        <f>IFERROR(__xludf.DUMMYFUNCTION("""COMPUTED_VALUE"""),19.167)</f>
        <v>19.167</v>
      </c>
      <c r="AL21" s="78">
        <f>IFERROR(__xludf.DUMMYFUNCTION("""COMPUTED_VALUE"""),2.7)</f>
        <v>2.7</v>
      </c>
      <c r="AM21" s="98">
        <f>IFERROR(__xludf.DUMMYFUNCTION("""COMPUTED_VALUE"""),1.637)</f>
        <v>1.637</v>
      </c>
      <c r="AN21" s="93">
        <f>IFERROR(__xludf.DUMMYFUNCTION("""COMPUTED_VALUE"""),23.75)</f>
        <v>23.75</v>
      </c>
      <c r="AO21" s="1"/>
      <c r="AP21" s="1"/>
      <c r="AQ21" s="1"/>
      <c r="AR21" s="1"/>
      <c r="AS21" s="1"/>
      <c r="AT21" s="1"/>
      <c r="AU21" s="1"/>
      <c r="AV21" s="1"/>
      <c r="AW21" s="1"/>
      <c r="AX21" s="1">
        <f>IFERROR(__xludf.DUMMYFUNCTION("""COMPUTED_VALUE"""),2.0)</f>
        <v>2</v>
      </c>
    </row>
    <row r="22">
      <c r="A22" s="78">
        <f>IFERROR(__xludf.DUMMYFUNCTION("""COMPUTED_VALUE"""),14.0)</f>
        <v>14</v>
      </c>
      <c r="B22" s="78" t="str">
        <f>IFERROR(__xludf.DUMMYFUNCTION("""COMPUTED_VALUE"""),"1000057501")</f>
        <v>1000057501</v>
      </c>
      <c r="C22" s="79" t="str">
        <f>IFERROR(__xludf.DUMMYFUNCTION("""COMPUTED_VALUE"""),"Maudud Hasan Nahian")</f>
        <v>Maudud Hasan Nahian</v>
      </c>
      <c r="D22" s="80" t="str">
        <f>IFERROR(__xludf.DUMMYFUNCTION("""COMPUTED_VALUE"""),"maudud.hasan.nahian@g.bracu.ac.bd")</f>
        <v>maudud.hasan.nahian@g.bracu.ac.bd</v>
      </c>
      <c r="E22" s="94" t="b">
        <f>IFERROR(__xludf.DUMMYFUNCTION("""COMPUTED_VALUE"""),TRUE)</f>
        <v>1</v>
      </c>
      <c r="F22" s="95">
        <f>IFERROR(__xludf.DUMMYFUNCTION("""COMPUTED_VALUE"""),0.0)</f>
        <v>0</v>
      </c>
      <c r="G22" s="96" t="str">
        <f>IFERROR(__xludf.DUMMYFUNCTION("""COMPUTED_VALUE"""),"OKAY")</f>
        <v>OKAY</v>
      </c>
      <c r="H22" s="95">
        <f>IFERROR(__xludf.DUMMYFUNCTION("""COMPUTED_VALUE"""),1.0)</f>
        <v>1</v>
      </c>
      <c r="I22" s="78">
        <f>IFERROR(__xludf.DUMMYFUNCTION("""COMPUTED_VALUE"""),1.0)</f>
        <v>1</v>
      </c>
      <c r="J22" s="78">
        <f>IFERROR(__xludf.DUMMYFUNCTION("""COMPUTED_VALUE"""),1.0)</f>
        <v>1</v>
      </c>
      <c r="K22" s="78">
        <f>IFERROR(__xludf.DUMMYFUNCTION("""COMPUTED_VALUE"""),1.0)</f>
        <v>1</v>
      </c>
      <c r="L22" s="78">
        <f>IFERROR(__xludf.DUMMYFUNCTION("""COMPUTED_VALUE"""),1.0)</f>
        <v>1</v>
      </c>
      <c r="M22" s="78">
        <f>IFERROR(__xludf.DUMMYFUNCTION("""COMPUTED_VALUE"""),1.0)</f>
        <v>1</v>
      </c>
      <c r="N22" s="78">
        <f>IFERROR(__xludf.DUMMYFUNCTION("""COMPUTED_VALUE"""),1.0)</f>
        <v>1</v>
      </c>
      <c r="O22" s="96">
        <f>IFERROR(__xludf.DUMMYFUNCTION("""COMPUTED_VALUE"""),1.0)</f>
        <v>1</v>
      </c>
      <c r="P22" s="97"/>
      <c r="Q22" s="98">
        <f>IFERROR(__xludf.DUMMYFUNCTION("""COMPUTED_VALUE"""),5.0)</f>
        <v>5</v>
      </c>
      <c r="R22" s="78"/>
      <c r="S22" s="97"/>
      <c r="T22" s="78"/>
      <c r="U22" s="96">
        <f>IFERROR(__xludf.DUMMYFUNCTION("""COMPUTED_VALUE"""),4.5)</f>
        <v>4.5</v>
      </c>
      <c r="V22" s="97"/>
      <c r="W22" s="96"/>
      <c r="X22" s="97">
        <f>IFERROR(__xludf.DUMMYFUNCTION("""COMPUTED_VALUE"""),5.0)</f>
        <v>5</v>
      </c>
      <c r="Y22" s="78">
        <f>IFERROR(__xludf.DUMMYFUNCTION("""COMPUTED_VALUE"""),5.0)</f>
        <v>5</v>
      </c>
      <c r="Z22" s="78">
        <f>IFERROR(__xludf.DUMMYFUNCTION("""COMPUTED_VALUE"""),5.0)</f>
        <v>5</v>
      </c>
      <c r="AA22" s="78">
        <f>IFERROR(__xludf.DUMMYFUNCTION("""COMPUTED_VALUE"""),0.0)</f>
        <v>0</v>
      </c>
      <c r="AB22" s="98">
        <f>IFERROR(__xludf.DUMMYFUNCTION("""COMPUTED_VALUE"""),4.61)</f>
        <v>4.61</v>
      </c>
      <c r="AC22" s="98">
        <f>IFERROR(__xludf.DUMMYFUNCTION("""COMPUTED_VALUE"""),5.0)</f>
        <v>5</v>
      </c>
      <c r="AD22" s="78">
        <f>IFERROR(__xludf.DUMMYFUNCTION("""COMPUTED_VALUE"""),5.0)</f>
        <v>5</v>
      </c>
      <c r="AE22" s="99">
        <f>IFERROR(__xludf.DUMMYFUNCTION("""COMPUTED_VALUE"""),5.0)</f>
        <v>5</v>
      </c>
      <c r="AF22" s="97">
        <f>IFERROR(__xludf.DUMMYFUNCTION("""COMPUTED_VALUE"""),9.5)</f>
        <v>9.5</v>
      </c>
      <c r="AG22" s="78">
        <f>IFERROR(__xludf.DUMMYFUNCTION("""COMPUTED_VALUE"""),9.5)</f>
        <v>9.5</v>
      </c>
      <c r="AH22" s="78">
        <f>IFERROR(__xludf.DUMMYFUNCTION("""COMPUTED_VALUE"""),10.0)</f>
        <v>10</v>
      </c>
      <c r="AI22" s="100">
        <f>IFERROR(__xludf.DUMMYFUNCTION("""COMPUTED_VALUE"""),2.0)</f>
        <v>2</v>
      </c>
      <c r="AJ22" s="101">
        <f>IFERROR(__xludf.DUMMYFUNCTION("""COMPUTED_VALUE"""),0.0)</f>
        <v>0</v>
      </c>
      <c r="AK22" s="78">
        <f>IFERROR(__xludf.DUMMYFUNCTION("""COMPUTED_VALUE"""),19.334)</f>
        <v>19.334</v>
      </c>
      <c r="AL22" s="78">
        <f>IFERROR(__xludf.DUMMYFUNCTION("""COMPUTED_VALUE"""),2.85)</f>
        <v>2.85</v>
      </c>
      <c r="AM22" s="98">
        <f>IFERROR(__xludf.DUMMYFUNCTION("""COMPUTED_VALUE"""),1.731)</f>
        <v>1.731</v>
      </c>
      <c r="AN22" s="93">
        <f>IFERROR(__xludf.DUMMYFUNCTION("""COMPUTED_VALUE"""),24.0)</f>
        <v>24</v>
      </c>
      <c r="AO22" s="1"/>
      <c r="AP22" s="1"/>
      <c r="AQ22" s="1"/>
      <c r="AR22" s="1"/>
      <c r="AS22" s="1"/>
      <c r="AT22" s="1"/>
      <c r="AU22" s="1"/>
      <c r="AV22" s="1"/>
      <c r="AW22" s="1"/>
      <c r="AX22" s="1">
        <f>IFERROR(__xludf.DUMMYFUNCTION("""COMPUTED_VALUE"""),2.0)</f>
        <v>2</v>
      </c>
    </row>
    <row r="23">
      <c r="A23" s="78">
        <f>IFERROR(__xludf.DUMMYFUNCTION("""COMPUTED_VALUE"""),15.0)</f>
        <v>15</v>
      </c>
      <c r="B23" s="78" t="str">
        <f>IFERROR(__xludf.DUMMYFUNCTION("""COMPUTED_VALUE"""),"1000057512")</f>
        <v>1000057512</v>
      </c>
      <c r="C23" s="79" t="str">
        <f>IFERROR(__xludf.DUMMYFUNCTION("""COMPUTED_VALUE"""),"Jyoti Shrestha Ray")</f>
        <v>Jyoti Shrestha Ray</v>
      </c>
      <c r="D23" s="80" t="str">
        <f>IFERROR(__xludf.DUMMYFUNCTION("""COMPUTED_VALUE"""),"jyoti.shrestha.ray@g.bracu.ac.bd")</f>
        <v>jyoti.shrestha.ray@g.bracu.ac.bd</v>
      </c>
      <c r="E23" s="94" t="b">
        <f>IFERROR(__xludf.DUMMYFUNCTION("""COMPUTED_VALUE"""),TRUE)</f>
        <v>1</v>
      </c>
      <c r="F23" s="95">
        <f>IFERROR(__xludf.DUMMYFUNCTION("""COMPUTED_VALUE"""),0.0)</f>
        <v>0</v>
      </c>
      <c r="G23" s="96" t="str">
        <f>IFERROR(__xludf.DUMMYFUNCTION("""COMPUTED_VALUE"""),"OKAY")</f>
        <v>OKAY</v>
      </c>
      <c r="H23" s="95">
        <f>IFERROR(__xludf.DUMMYFUNCTION("""COMPUTED_VALUE"""),1.0)</f>
        <v>1</v>
      </c>
      <c r="I23" s="78">
        <f>IFERROR(__xludf.DUMMYFUNCTION("""COMPUTED_VALUE"""),1.0)</f>
        <v>1</v>
      </c>
      <c r="J23" s="78">
        <f>IFERROR(__xludf.DUMMYFUNCTION("""COMPUTED_VALUE"""),1.0)</f>
        <v>1</v>
      </c>
      <c r="K23" s="78">
        <f>IFERROR(__xludf.DUMMYFUNCTION("""COMPUTED_VALUE"""),1.0)</f>
        <v>1</v>
      </c>
      <c r="L23" s="78">
        <f>IFERROR(__xludf.DUMMYFUNCTION("""COMPUTED_VALUE"""),1.0)</f>
        <v>1</v>
      </c>
      <c r="M23" s="78">
        <f>IFERROR(__xludf.DUMMYFUNCTION("""COMPUTED_VALUE"""),1.0)</f>
        <v>1</v>
      </c>
      <c r="N23" s="78">
        <f>IFERROR(__xludf.DUMMYFUNCTION("""COMPUTED_VALUE"""),1.0)</f>
        <v>1</v>
      </c>
      <c r="O23" s="96">
        <f>IFERROR(__xludf.DUMMYFUNCTION("""COMPUTED_VALUE"""),1.0)</f>
        <v>1</v>
      </c>
      <c r="P23" s="97"/>
      <c r="Q23" s="98">
        <f>IFERROR(__xludf.DUMMYFUNCTION("""COMPUTED_VALUE"""),5.0)</f>
        <v>5</v>
      </c>
      <c r="R23" s="78"/>
      <c r="S23" s="97"/>
      <c r="T23" s="78"/>
      <c r="U23" s="96">
        <f>IFERROR(__xludf.DUMMYFUNCTION("""COMPUTED_VALUE"""),3.5)</f>
        <v>3.5</v>
      </c>
      <c r="V23" s="97"/>
      <c r="W23" s="96"/>
      <c r="X23" s="97">
        <f>IFERROR(__xludf.DUMMYFUNCTION("""COMPUTED_VALUE"""),5.0)</f>
        <v>5</v>
      </c>
      <c r="Y23" s="78">
        <f>IFERROR(__xludf.DUMMYFUNCTION("""COMPUTED_VALUE"""),5.0)</f>
        <v>5</v>
      </c>
      <c r="Z23" s="78">
        <f>IFERROR(__xludf.DUMMYFUNCTION("""COMPUTED_VALUE"""),0.0)</f>
        <v>0</v>
      </c>
      <c r="AA23" s="78">
        <f>IFERROR(__xludf.DUMMYFUNCTION("""COMPUTED_VALUE"""),3.33)</f>
        <v>3.33</v>
      </c>
      <c r="AB23" s="98">
        <f>IFERROR(__xludf.DUMMYFUNCTION("""COMPUTED_VALUE"""),0.0)</f>
        <v>0</v>
      </c>
      <c r="AC23" s="98">
        <f>IFERROR(__xludf.DUMMYFUNCTION("""COMPUTED_VALUE"""),4.17)</f>
        <v>4.17</v>
      </c>
      <c r="AD23" s="78">
        <f>IFERROR(__xludf.DUMMYFUNCTION("""COMPUTED_VALUE"""),0.83)</f>
        <v>0.83</v>
      </c>
      <c r="AE23" s="99"/>
      <c r="AF23" s="97">
        <f>IFERROR(__xludf.DUMMYFUNCTION("""COMPUTED_VALUE"""),10.0)</f>
        <v>10</v>
      </c>
      <c r="AG23" s="78">
        <f>IFERROR(__xludf.DUMMYFUNCTION("""COMPUTED_VALUE"""),9.5)</f>
        <v>9.5</v>
      </c>
      <c r="AH23" s="78">
        <f>IFERROR(__xludf.DUMMYFUNCTION("""COMPUTED_VALUE"""),9.0)</f>
        <v>9</v>
      </c>
      <c r="AI23" s="100"/>
      <c r="AJ23" s="101">
        <f>IFERROR(__xludf.DUMMYFUNCTION("""COMPUTED_VALUE"""),0.0)</f>
        <v>0</v>
      </c>
      <c r="AK23" s="78">
        <f>IFERROR(__xludf.DUMMYFUNCTION("""COMPUTED_VALUE"""),19.0)</f>
        <v>19</v>
      </c>
      <c r="AL23" s="78">
        <f>IFERROR(__xludf.DUMMYFUNCTION("""COMPUTED_VALUE"""),2.55)</f>
        <v>2.55</v>
      </c>
      <c r="AM23" s="98">
        <f>IFERROR(__xludf.DUMMYFUNCTION("""COMPUTED_VALUE"""),0.917)</f>
        <v>0.917</v>
      </c>
      <c r="AN23" s="93">
        <f>IFERROR(__xludf.DUMMYFUNCTION("""COMPUTED_VALUE"""),22.5)</f>
        <v>22.5</v>
      </c>
      <c r="AO23" s="1"/>
      <c r="AP23" s="1"/>
      <c r="AQ23" s="1"/>
      <c r="AR23" s="1"/>
      <c r="AS23" s="1"/>
      <c r="AT23" s="1"/>
      <c r="AU23" s="1"/>
      <c r="AV23" s="1"/>
      <c r="AW23" s="1"/>
      <c r="AX23" s="1">
        <f>IFERROR(__xludf.DUMMYFUNCTION("""COMPUTED_VALUE"""),2.0)</f>
        <v>2</v>
      </c>
    </row>
    <row r="24">
      <c r="A24" s="78">
        <f>IFERROR(__xludf.DUMMYFUNCTION("""COMPUTED_VALUE"""),16.0)</f>
        <v>16</v>
      </c>
      <c r="B24" s="78" t="str">
        <f>IFERROR(__xludf.DUMMYFUNCTION("""COMPUTED_VALUE"""),"1000057515")</f>
        <v>1000057515</v>
      </c>
      <c r="C24" s="79" t="str">
        <f>IFERROR(__xludf.DUMMYFUNCTION("""COMPUTED_VALUE"""),"Rakayet Sami")</f>
        <v>Rakayet Sami</v>
      </c>
      <c r="D24" s="80" t="str">
        <f>IFERROR(__xludf.DUMMYFUNCTION("""COMPUTED_VALUE"""),"rakayet.sami@g.bracu.ac.bd")</f>
        <v>rakayet.sami@g.bracu.ac.bd</v>
      </c>
      <c r="E24" s="94" t="b">
        <f>IFERROR(__xludf.DUMMYFUNCTION("""COMPUTED_VALUE"""),TRUE)</f>
        <v>1</v>
      </c>
      <c r="F24" s="95">
        <f>IFERROR(__xludf.DUMMYFUNCTION("""COMPUTED_VALUE"""),0.0)</f>
        <v>0</v>
      </c>
      <c r="G24" s="96" t="str">
        <f>IFERROR(__xludf.DUMMYFUNCTION("""COMPUTED_VALUE"""),"OKAY")</f>
        <v>OKAY</v>
      </c>
      <c r="H24" s="95">
        <f>IFERROR(__xludf.DUMMYFUNCTION("""COMPUTED_VALUE"""),1.0)</f>
        <v>1</v>
      </c>
      <c r="I24" s="78">
        <f>IFERROR(__xludf.DUMMYFUNCTION("""COMPUTED_VALUE"""),1.0)</f>
        <v>1</v>
      </c>
      <c r="J24" s="78">
        <f>IFERROR(__xludf.DUMMYFUNCTION("""COMPUTED_VALUE"""),1.0)</f>
        <v>1</v>
      </c>
      <c r="K24" s="78">
        <f>IFERROR(__xludf.DUMMYFUNCTION("""COMPUTED_VALUE"""),1.0)</f>
        <v>1</v>
      </c>
      <c r="L24" s="78">
        <f>IFERROR(__xludf.DUMMYFUNCTION("""COMPUTED_VALUE"""),1.0)</f>
        <v>1</v>
      </c>
      <c r="M24" s="78">
        <f>IFERROR(__xludf.DUMMYFUNCTION("""COMPUTED_VALUE"""),1.0)</f>
        <v>1</v>
      </c>
      <c r="N24" s="78">
        <f>IFERROR(__xludf.DUMMYFUNCTION("""COMPUTED_VALUE"""),1.0)</f>
        <v>1</v>
      </c>
      <c r="O24" s="96">
        <f>IFERROR(__xludf.DUMMYFUNCTION("""COMPUTED_VALUE"""),1.0)</f>
        <v>1</v>
      </c>
      <c r="P24" s="97"/>
      <c r="Q24" s="98">
        <f>IFERROR(__xludf.DUMMYFUNCTION("""COMPUTED_VALUE"""),4.5)</f>
        <v>4.5</v>
      </c>
      <c r="R24" s="78"/>
      <c r="S24" s="97"/>
      <c r="T24" s="78"/>
      <c r="U24" s="96">
        <f>IFERROR(__xludf.DUMMYFUNCTION("""COMPUTED_VALUE"""),2.5)</f>
        <v>2.5</v>
      </c>
      <c r="V24" s="97"/>
      <c r="W24" s="96"/>
      <c r="X24" s="97">
        <f>IFERROR(__xludf.DUMMYFUNCTION("""COMPUTED_VALUE"""),4.3)</f>
        <v>4.3</v>
      </c>
      <c r="Y24" s="78">
        <f>IFERROR(__xludf.DUMMYFUNCTION("""COMPUTED_VALUE"""),4.9)</f>
        <v>4.9</v>
      </c>
      <c r="Z24" s="78">
        <f>IFERROR(__xludf.DUMMYFUNCTION("""COMPUTED_VALUE"""),5.0)</f>
        <v>5</v>
      </c>
      <c r="AA24" s="78">
        <f>IFERROR(__xludf.DUMMYFUNCTION("""COMPUTED_VALUE"""),5.0)</f>
        <v>5</v>
      </c>
      <c r="AB24" s="98">
        <f>IFERROR(__xludf.DUMMYFUNCTION("""COMPUTED_VALUE"""),5.0)</f>
        <v>5</v>
      </c>
      <c r="AC24" s="98">
        <f>IFERROR(__xludf.DUMMYFUNCTION("""COMPUTED_VALUE"""),5.0)</f>
        <v>5</v>
      </c>
      <c r="AD24" s="78">
        <f>IFERROR(__xludf.DUMMYFUNCTION("""COMPUTED_VALUE"""),5.0)</f>
        <v>5</v>
      </c>
      <c r="AE24" s="99">
        <f>IFERROR(__xludf.DUMMYFUNCTION("""COMPUTED_VALUE"""),5.0)</f>
        <v>5</v>
      </c>
      <c r="AF24" s="97">
        <f>IFERROR(__xludf.DUMMYFUNCTION("""COMPUTED_VALUE"""),10.0)</f>
        <v>10</v>
      </c>
      <c r="AG24" s="78">
        <f>IFERROR(__xludf.DUMMYFUNCTION("""COMPUTED_VALUE"""),9.5)</f>
        <v>9.5</v>
      </c>
      <c r="AH24" s="78">
        <f>IFERROR(__xludf.DUMMYFUNCTION("""COMPUTED_VALUE"""),8.5)</f>
        <v>8.5</v>
      </c>
      <c r="AI24" s="100">
        <f>IFERROR(__xludf.DUMMYFUNCTION("""COMPUTED_VALUE"""),2.0)</f>
        <v>2</v>
      </c>
      <c r="AJ24" s="101">
        <f>IFERROR(__xludf.DUMMYFUNCTION("""COMPUTED_VALUE"""),0.0)</f>
        <v>0</v>
      </c>
      <c r="AK24" s="78">
        <f>IFERROR(__xludf.DUMMYFUNCTION("""COMPUTED_VALUE"""),18.667)</f>
        <v>18.667</v>
      </c>
      <c r="AL24" s="78">
        <f>IFERROR(__xludf.DUMMYFUNCTION("""COMPUTED_VALUE"""),2.1)</f>
        <v>2.1</v>
      </c>
      <c r="AM24" s="98">
        <f>IFERROR(__xludf.DUMMYFUNCTION("""COMPUTED_VALUE"""),1.96)</f>
        <v>1.96</v>
      </c>
      <c r="AN24" s="93">
        <f>IFERROR(__xludf.DUMMYFUNCTION("""COMPUTED_VALUE"""),22.75)</f>
        <v>22.75</v>
      </c>
      <c r="AO24" s="1"/>
      <c r="AP24" s="1"/>
      <c r="AQ24" s="1"/>
      <c r="AR24" s="1"/>
      <c r="AS24" s="1"/>
      <c r="AT24" s="1"/>
      <c r="AU24" s="1"/>
      <c r="AV24" s="1"/>
      <c r="AW24" s="1"/>
      <c r="AX24" s="1">
        <f>IFERROR(__xludf.DUMMYFUNCTION("""COMPUTED_VALUE"""),2.0)</f>
        <v>2</v>
      </c>
    </row>
    <row r="25">
      <c r="A25" s="78">
        <f>IFERROR(__xludf.DUMMYFUNCTION("""COMPUTED_VALUE"""),17.0)</f>
        <v>17</v>
      </c>
      <c r="B25" s="78" t="str">
        <f>IFERROR(__xludf.DUMMYFUNCTION("""COMPUTED_VALUE"""),"1000057527")</f>
        <v>1000057527</v>
      </c>
      <c r="C25" s="79" t="str">
        <f>IFERROR(__xludf.DUMMYFUNCTION("""COMPUTED_VALUE"""),"Fardin Hassan")</f>
        <v>Fardin Hassan</v>
      </c>
      <c r="D25" s="80" t="str">
        <f>IFERROR(__xludf.DUMMYFUNCTION("""COMPUTED_VALUE"""),"fardin.hassan@g.bracu.ac.bd")</f>
        <v>fardin.hassan@g.bracu.ac.bd</v>
      </c>
      <c r="E25" s="94" t="b">
        <f>IFERROR(__xludf.DUMMYFUNCTION("""COMPUTED_VALUE"""),TRUE)</f>
        <v>1</v>
      </c>
      <c r="F25" s="95">
        <f>IFERROR(__xludf.DUMMYFUNCTION("""COMPUTED_VALUE"""),1.0)</f>
        <v>1</v>
      </c>
      <c r="G25" s="96" t="str">
        <f>IFERROR(__xludf.DUMMYFUNCTION("""COMPUTED_VALUE"""),"WARNING")</f>
        <v>WARNING</v>
      </c>
      <c r="H25" s="95">
        <f>IFERROR(__xludf.DUMMYFUNCTION("""COMPUTED_VALUE"""),1.0)</f>
        <v>1</v>
      </c>
      <c r="I25" s="78">
        <f>IFERROR(__xludf.DUMMYFUNCTION("""COMPUTED_VALUE"""),1.0)</f>
        <v>1</v>
      </c>
      <c r="J25" s="78">
        <f>IFERROR(__xludf.DUMMYFUNCTION("""COMPUTED_VALUE"""),1.0)</f>
        <v>1</v>
      </c>
      <c r="K25" s="78">
        <f>IFERROR(__xludf.DUMMYFUNCTION("""COMPUTED_VALUE"""),1.0)</f>
        <v>1</v>
      </c>
      <c r="L25" s="78">
        <f>IFERROR(__xludf.DUMMYFUNCTION("""COMPUTED_VALUE"""),1.0)</f>
        <v>1</v>
      </c>
      <c r="M25" s="78">
        <f>IFERROR(__xludf.DUMMYFUNCTION("""COMPUTED_VALUE"""),1.0)</f>
        <v>1</v>
      </c>
      <c r="N25" s="78">
        <f>IFERROR(__xludf.DUMMYFUNCTION("""COMPUTED_VALUE"""),1.0)</f>
        <v>1</v>
      </c>
      <c r="O25" s="96">
        <f>IFERROR(__xludf.DUMMYFUNCTION("""COMPUTED_VALUE"""),0.0)</f>
        <v>0</v>
      </c>
      <c r="P25" s="97"/>
      <c r="Q25" s="98">
        <f>IFERROR(__xludf.DUMMYFUNCTION("""COMPUTED_VALUE"""),3.0)</f>
        <v>3</v>
      </c>
      <c r="R25" s="78"/>
      <c r="S25" s="97"/>
      <c r="T25" s="78"/>
      <c r="U25" s="96">
        <f>IFERROR(__xludf.DUMMYFUNCTION("""COMPUTED_VALUE"""),3.0)</f>
        <v>3</v>
      </c>
      <c r="V25" s="97"/>
      <c r="W25" s="96"/>
      <c r="X25" s="97">
        <f>IFERROR(__xludf.DUMMYFUNCTION("""COMPUTED_VALUE"""),5.0)</f>
        <v>5</v>
      </c>
      <c r="Y25" s="78">
        <f>IFERROR(__xludf.DUMMYFUNCTION("""COMPUTED_VALUE"""),4.9)</f>
        <v>4.9</v>
      </c>
      <c r="Z25" s="78">
        <f>IFERROR(__xludf.DUMMYFUNCTION("""COMPUTED_VALUE"""),5.0)</f>
        <v>5</v>
      </c>
      <c r="AA25" s="78">
        <f>IFERROR(__xludf.DUMMYFUNCTION("""COMPUTED_VALUE"""),4.58)</f>
        <v>4.58</v>
      </c>
      <c r="AB25" s="98">
        <f>IFERROR(__xludf.DUMMYFUNCTION("""COMPUTED_VALUE"""),5.0)</f>
        <v>5</v>
      </c>
      <c r="AC25" s="98">
        <f>IFERROR(__xludf.DUMMYFUNCTION("""COMPUTED_VALUE"""),5.0)</f>
        <v>5</v>
      </c>
      <c r="AD25" s="78">
        <f>IFERROR(__xludf.DUMMYFUNCTION("""COMPUTED_VALUE"""),5.0)</f>
        <v>5</v>
      </c>
      <c r="AE25" s="99">
        <f>IFERROR(__xludf.DUMMYFUNCTION("""COMPUTED_VALUE"""),4.75)</f>
        <v>4.75</v>
      </c>
      <c r="AF25" s="97">
        <f>IFERROR(__xludf.DUMMYFUNCTION("""COMPUTED_VALUE"""),9.0)</f>
        <v>9</v>
      </c>
      <c r="AG25" s="78">
        <f>IFERROR(__xludf.DUMMYFUNCTION("""COMPUTED_VALUE"""),6.75)</f>
        <v>6.75</v>
      </c>
      <c r="AH25" s="78">
        <f>IFERROR(__xludf.DUMMYFUNCTION("""COMPUTED_VALUE"""),6.0)</f>
        <v>6</v>
      </c>
      <c r="AI25" s="100"/>
      <c r="AJ25" s="101">
        <f>IFERROR(__xludf.DUMMYFUNCTION("""COMPUTED_VALUE"""),0.0)</f>
        <v>0</v>
      </c>
      <c r="AK25" s="78">
        <f>IFERROR(__xludf.DUMMYFUNCTION("""COMPUTED_VALUE"""),14.5)</f>
        <v>14.5</v>
      </c>
      <c r="AL25" s="78">
        <f>IFERROR(__xludf.DUMMYFUNCTION("""COMPUTED_VALUE"""),1.8)</f>
        <v>1.8</v>
      </c>
      <c r="AM25" s="98">
        <f>IFERROR(__xludf.DUMMYFUNCTION("""COMPUTED_VALUE"""),1.962)</f>
        <v>1.962</v>
      </c>
      <c r="AN25" s="93">
        <f>IFERROR(__xludf.DUMMYFUNCTION("""COMPUTED_VALUE"""),18.5)</f>
        <v>18.5</v>
      </c>
      <c r="AO25" s="1"/>
      <c r="AP25" s="1"/>
      <c r="AQ25" s="1"/>
      <c r="AR25" s="1"/>
      <c r="AS25" s="1"/>
      <c r="AT25" s="1"/>
      <c r="AU25" s="1"/>
      <c r="AV25" s="1"/>
      <c r="AW25" s="1"/>
      <c r="AX25" s="1">
        <f>IFERROR(__xludf.DUMMYFUNCTION("""COMPUTED_VALUE"""),2.0)</f>
        <v>2</v>
      </c>
    </row>
    <row r="26">
      <c r="A26" s="78">
        <f>IFERROR(__xludf.DUMMYFUNCTION("""COMPUTED_VALUE"""),18.0)</f>
        <v>18</v>
      </c>
      <c r="B26" s="78" t="str">
        <f>IFERROR(__xludf.DUMMYFUNCTION("""COMPUTED_VALUE"""),"1000057540")</f>
        <v>1000057540</v>
      </c>
      <c r="C26" s="79" t="str">
        <f>IFERROR(__xludf.DUMMYFUNCTION("""COMPUTED_VALUE"""),"Quazi Abdullah Al Mahmud Tahsin")</f>
        <v>Quazi Abdullah Al Mahmud Tahsin</v>
      </c>
      <c r="D26" s="80" t="str">
        <f>IFERROR(__xludf.DUMMYFUNCTION("""COMPUTED_VALUE"""),"abdullah.almahmud.tahsin1@g.bracu.ac.bd")</f>
        <v>abdullah.almahmud.tahsin1@g.bracu.ac.bd</v>
      </c>
      <c r="E26" s="94" t="b">
        <f>IFERROR(__xludf.DUMMYFUNCTION("""COMPUTED_VALUE"""),TRUE)</f>
        <v>1</v>
      </c>
      <c r="F26" s="95">
        <f>IFERROR(__xludf.DUMMYFUNCTION("""COMPUTED_VALUE"""),0.0)</f>
        <v>0</v>
      </c>
      <c r="G26" s="96" t="str">
        <f>IFERROR(__xludf.DUMMYFUNCTION("""COMPUTED_VALUE"""),"BARRED")</f>
        <v>BARRED</v>
      </c>
      <c r="H26" s="95">
        <f>IFERROR(__xludf.DUMMYFUNCTION("""COMPUTED_VALUE"""),1.0)</f>
        <v>1</v>
      </c>
      <c r="I26" s="78">
        <f>IFERROR(__xludf.DUMMYFUNCTION("""COMPUTED_VALUE"""),1.0)</f>
        <v>1</v>
      </c>
      <c r="J26" s="78">
        <f>IFERROR(__xludf.DUMMYFUNCTION("""COMPUTED_VALUE"""),1.0)</f>
        <v>1</v>
      </c>
      <c r="K26" s="78">
        <f>IFERROR(__xludf.DUMMYFUNCTION("""COMPUTED_VALUE"""),1.0)</f>
        <v>1</v>
      </c>
      <c r="L26" s="78">
        <f>IFERROR(__xludf.DUMMYFUNCTION("""COMPUTED_VALUE"""),1.0)</f>
        <v>1</v>
      </c>
      <c r="M26" s="78">
        <f>IFERROR(__xludf.DUMMYFUNCTION("""COMPUTED_VALUE"""),1.0)</f>
        <v>1</v>
      </c>
      <c r="N26" s="78"/>
      <c r="O26" s="96"/>
      <c r="P26" s="97"/>
      <c r="Q26" s="98">
        <f>IFERROR(__xludf.DUMMYFUNCTION("""COMPUTED_VALUE"""),5.0)</f>
        <v>5</v>
      </c>
      <c r="R26" s="78"/>
      <c r="S26" s="97"/>
      <c r="T26" s="78"/>
      <c r="U26" s="96">
        <f>IFERROR(__xludf.DUMMYFUNCTION("""COMPUTED_VALUE"""),5.0)</f>
        <v>5</v>
      </c>
      <c r="V26" s="97"/>
      <c r="W26" s="96"/>
      <c r="X26" s="97">
        <f>IFERROR(__xludf.DUMMYFUNCTION("""COMPUTED_VALUE"""),4.5)</f>
        <v>4.5</v>
      </c>
      <c r="Y26" s="78">
        <f>IFERROR(__xludf.DUMMYFUNCTION("""COMPUTED_VALUE"""),5.0)</f>
        <v>5</v>
      </c>
      <c r="Z26" s="78">
        <f>IFERROR(__xludf.DUMMYFUNCTION("""COMPUTED_VALUE"""),5.0)</f>
        <v>5</v>
      </c>
      <c r="AA26" s="78">
        <f>IFERROR(__xludf.DUMMYFUNCTION("""COMPUTED_VALUE"""),5.0)</f>
        <v>5</v>
      </c>
      <c r="AB26" s="98">
        <f>IFERROR(__xludf.DUMMYFUNCTION("""COMPUTED_VALUE"""),4.29)</f>
        <v>4.29</v>
      </c>
      <c r="AC26" s="98">
        <f>IFERROR(__xludf.DUMMYFUNCTION("""COMPUTED_VALUE"""),0.0)</f>
        <v>0</v>
      </c>
      <c r="AD26" s="78">
        <f>IFERROR(__xludf.DUMMYFUNCTION("""COMPUTED_VALUE"""),0.0)</f>
        <v>0</v>
      </c>
      <c r="AE26" s="99"/>
      <c r="AF26" s="97">
        <f>IFERROR(__xludf.DUMMYFUNCTION("""COMPUTED_VALUE"""),9.0)</f>
        <v>9</v>
      </c>
      <c r="AG26" s="78">
        <f>IFERROR(__xludf.DUMMYFUNCTION("""COMPUTED_VALUE"""),8.5)</f>
        <v>8.5</v>
      </c>
      <c r="AH26" s="78" t="str">
        <f>IFERROR(__xludf.DUMMYFUNCTION("""COMPUTED_VALUE"""),"P")</f>
        <v>P</v>
      </c>
      <c r="AI26" s="100"/>
      <c r="AJ26" s="101" t="str">
        <f>IFERROR(__xludf.DUMMYFUNCTION("""COMPUTED_VALUE"""),"FAIL")</f>
        <v>FAIL</v>
      </c>
      <c r="AK26" s="78">
        <f>IFERROR(__xludf.DUMMYFUNCTION("""COMPUTED_VALUE"""),11.667)</f>
        <v>11.667</v>
      </c>
      <c r="AL26" s="78">
        <f>IFERROR(__xludf.DUMMYFUNCTION("""COMPUTED_VALUE"""),3.0)</f>
        <v>3</v>
      </c>
      <c r="AM26" s="98">
        <f>IFERROR(__xludf.DUMMYFUNCTION("""COMPUTED_VALUE"""),1.19)</f>
        <v>1.19</v>
      </c>
      <c r="AN26" s="98">
        <f>IFERROR(__xludf.DUMMYFUNCTION("""COMPUTED_VALUE"""),0.0)</f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>
        <f>IFERROR(__xludf.DUMMYFUNCTION("""COMPUTED_VALUE"""),2.0)</f>
        <v>2</v>
      </c>
    </row>
    <row r="27">
      <c r="A27" s="78">
        <f>IFERROR(__xludf.DUMMYFUNCTION("""COMPUTED_VALUE"""),19.0)</f>
        <v>19</v>
      </c>
      <c r="B27" s="78" t="str">
        <f>IFERROR(__xludf.DUMMYFUNCTION("""COMPUTED_VALUE"""),"1000057541")</f>
        <v>1000057541</v>
      </c>
      <c r="C27" s="79" t="str">
        <f>IFERROR(__xludf.DUMMYFUNCTION("""COMPUTED_VALUE"""),"Dewan Nazmus Saquib Chowdhury")</f>
        <v>Dewan Nazmus Saquib Chowdhury</v>
      </c>
      <c r="D27" s="80" t="str">
        <f>IFERROR(__xludf.DUMMYFUNCTION("""COMPUTED_VALUE"""),"dewan.nazmus.saquib@g.bracu.ac.bd")</f>
        <v>dewan.nazmus.saquib@g.bracu.ac.bd</v>
      </c>
      <c r="E27" s="94" t="b">
        <f>IFERROR(__xludf.DUMMYFUNCTION("""COMPUTED_VALUE"""),TRUE)</f>
        <v>1</v>
      </c>
      <c r="F27" s="95">
        <f>IFERROR(__xludf.DUMMYFUNCTION("""COMPUTED_VALUE"""),0.0)</f>
        <v>0</v>
      </c>
      <c r="G27" s="96" t="str">
        <f>IFERROR(__xludf.DUMMYFUNCTION("""COMPUTED_VALUE"""),"OKAY")</f>
        <v>OKAY</v>
      </c>
      <c r="H27" s="95">
        <f>IFERROR(__xludf.DUMMYFUNCTION("""COMPUTED_VALUE"""),1.0)</f>
        <v>1</v>
      </c>
      <c r="I27" s="78">
        <f>IFERROR(__xludf.DUMMYFUNCTION("""COMPUTED_VALUE"""),1.0)</f>
        <v>1</v>
      </c>
      <c r="J27" s="78">
        <f>IFERROR(__xludf.DUMMYFUNCTION("""COMPUTED_VALUE"""),1.0)</f>
        <v>1</v>
      </c>
      <c r="K27" s="78">
        <f>IFERROR(__xludf.DUMMYFUNCTION("""COMPUTED_VALUE"""),1.0)</f>
        <v>1</v>
      </c>
      <c r="L27" s="78">
        <f>IFERROR(__xludf.DUMMYFUNCTION("""COMPUTED_VALUE"""),1.0)</f>
        <v>1</v>
      </c>
      <c r="M27" s="78">
        <f>IFERROR(__xludf.DUMMYFUNCTION("""COMPUTED_VALUE"""),1.0)</f>
        <v>1</v>
      </c>
      <c r="N27" s="78">
        <f>IFERROR(__xludf.DUMMYFUNCTION("""COMPUTED_VALUE"""),1.0)</f>
        <v>1</v>
      </c>
      <c r="O27" s="96">
        <f>IFERROR(__xludf.DUMMYFUNCTION("""COMPUTED_VALUE"""),1.0)</f>
        <v>1</v>
      </c>
      <c r="P27" s="97"/>
      <c r="Q27" s="98">
        <f>IFERROR(__xludf.DUMMYFUNCTION("""COMPUTED_VALUE"""),4.0)</f>
        <v>4</v>
      </c>
      <c r="R27" s="78"/>
      <c r="S27" s="97"/>
      <c r="T27" s="78"/>
      <c r="U27" s="96">
        <f>IFERROR(__xludf.DUMMYFUNCTION("""COMPUTED_VALUE"""),2.5)</f>
        <v>2.5</v>
      </c>
      <c r="V27" s="97"/>
      <c r="W27" s="96"/>
      <c r="X27" s="97">
        <f>IFERROR(__xludf.DUMMYFUNCTION("""COMPUTED_VALUE"""),1.0)</f>
        <v>1</v>
      </c>
      <c r="Y27" s="78">
        <f>IFERROR(__xludf.DUMMYFUNCTION("""COMPUTED_VALUE"""),5.0)</f>
        <v>5</v>
      </c>
      <c r="Z27" s="78">
        <f>IFERROR(__xludf.DUMMYFUNCTION("""COMPUTED_VALUE"""),4.17)</f>
        <v>4.17</v>
      </c>
      <c r="AA27" s="78">
        <f>IFERROR(__xludf.DUMMYFUNCTION("""COMPUTED_VALUE"""),5.0)</f>
        <v>5</v>
      </c>
      <c r="AB27" s="98">
        <f>IFERROR(__xludf.DUMMYFUNCTION("""COMPUTED_VALUE"""),0.72)</f>
        <v>0.72</v>
      </c>
      <c r="AC27" s="98">
        <f>IFERROR(__xludf.DUMMYFUNCTION("""COMPUTED_VALUE"""),5.0)</f>
        <v>5</v>
      </c>
      <c r="AD27" s="78">
        <f>IFERROR(__xludf.DUMMYFUNCTION("""COMPUTED_VALUE"""),5.0)</f>
        <v>5</v>
      </c>
      <c r="AE27" s="99">
        <f>IFERROR(__xludf.DUMMYFUNCTION("""COMPUTED_VALUE"""),5.0)</f>
        <v>5</v>
      </c>
      <c r="AF27" s="97">
        <f>IFERROR(__xludf.DUMMYFUNCTION("""COMPUTED_VALUE"""),9.0)</f>
        <v>9</v>
      </c>
      <c r="AG27" s="78">
        <f>IFERROR(__xludf.DUMMYFUNCTION("""COMPUTED_VALUE"""),7.75)</f>
        <v>7.75</v>
      </c>
      <c r="AH27" s="78">
        <f>IFERROR(__xludf.DUMMYFUNCTION("""COMPUTED_VALUE"""),9.0)</f>
        <v>9</v>
      </c>
      <c r="AI27" s="100">
        <f>IFERROR(__xludf.DUMMYFUNCTION("""COMPUTED_VALUE"""),8.0)</f>
        <v>8</v>
      </c>
      <c r="AJ27" s="101">
        <f>IFERROR(__xludf.DUMMYFUNCTION("""COMPUTED_VALUE"""),0.0)</f>
        <v>0</v>
      </c>
      <c r="AK27" s="78">
        <f>IFERROR(__xludf.DUMMYFUNCTION("""COMPUTED_VALUE"""),17.334)</f>
        <v>17.334</v>
      </c>
      <c r="AL27" s="78">
        <f>IFERROR(__xludf.DUMMYFUNCTION("""COMPUTED_VALUE"""),1.95)</f>
        <v>1.95</v>
      </c>
      <c r="AM27" s="98">
        <f>IFERROR(__xludf.DUMMYFUNCTION("""COMPUTED_VALUE"""),1.545)</f>
        <v>1.545</v>
      </c>
      <c r="AN27" s="93">
        <f>IFERROR(__xludf.DUMMYFUNCTION("""COMPUTED_VALUE"""),21.0)</f>
        <v>21</v>
      </c>
      <c r="AO27" s="1"/>
      <c r="AP27" s="1"/>
      <c r="AQ27" s="1"/>
      <c r="AR27" s="1"/>
      <c r="AS27" s="1"/>
      <c r="AT27" s="1"/>
      <c r="AU27" s="1"/>
      <c r="AV27" s="1"/>
      <c r="AW27" s="1"/>
      <c r="AX27" s="1">
        <f>IFERROR(__xludf.DUMMYFUNCTION("""COMPUTED_VALUE"""),2.0)</f>
        <v>2</v>
      </c>
    </row>
    <row r="28">
      <c r="A28" s="78">
        <f>IFERROR(__xludf.DUMMYFUNCTION("""COMPUTED_VALUE"""),20.0)</f>
        <v>20</v>
      </c>
      <c r="B28" s="78" t="str">
        <f>IFERROR(__xludf.DUMMYFUNCTION("""COMPUTED_VALUE"""),"1000057571")</f>
        <v>1000057571</v>
      </c>
      <c r="C28" s="79" t="str">
        <f>IFERROR(__xludf.DUMMYFUNCTION("""COMPUTED_VALUE"""),"Md. Monem Shahriar")</f>
        <v>Md. Monem Shahriar</v>
      </c>
      <c r="D28" s="80" t="str">
        <f>IFERROR(__xludf.DUMMYFUNCTION("""COMPUTED_VALUE"""),"md.monem.shahriar@g.bracu.ac.bd")</f>
        <v>md.monem.shahriar@g.bracu.ac.bd</v>
      </c>
      <c r="E28" s="94" t="b">
        <f>IFERROR(__xludf.DUMMYFUNCTION("""COMPUTED_VALUE"""),TRUE)</f>
        <v>1</v>
      </c>
      <c r="F28" s="95">
        <f>IFERROR(__xludf.DUMMYFUNCTION("""COMPUTED_VALUE"""),0.0)</f>
        <v>0</v>
      </c>
      <c r="G28" s="96" t="str">
        <f>IFERROR(__xludf.DUMMYFUNCTION("""COMPUTED_VALUE"""),"OKAY")</f>
        <v>OKAY</v>
      </c>
      <c r="H28" s="95">
        <f>IFERROR(__xludf.DUMMYFUNCTION("""COMPUTED_VALUE"""),1.0)</f>
        <v>1</v>
      </c>
      <c r="I28" s="78">
        <f>IFERROR(__xludf.DUMMYFUNCTION("""COMPUTED_VALUE"""),1.0)</f>
        <v>1</v>
      </c>
      <c r="J28" s="78">
        <f>IFERROR(__xludf.DUMMYFUNCTION("""COMPUTED_VALUE"""),1.0)</f>
        <v>1</v>
      </c>
      <c r="K28" s="78">
        <f>IFERROR(__xludf.DUMMYFUNCTION("""COMPUTED_VALUE"""),1.0)</f>
        <v>1</v>
      </c>
      <c r="L28" s="78">
        <f>IFERROR(__xludf.DUMMYFUNCTION("""COMPUTED_VALUE"""),1.0)</f>
        <v>1</v>
      </c>
      <c r="M28" s="78">
        <f>IFERROR(__xludf.DUMMYFUNCTION("""COMPUTED_VALUE"""),1.0)</f>
        <v>1</v>
      </c>
      <c r="N28" s="78">
        <f>IFERROR(__xludf.DUMMYFUNCTION("""COMPUTED_VALUE"""),1.0)</f>
        <v>1</v>
      </c>
      <c r="O28" s="96">
        <f>IFERROR(__xludf.DUMMYFUNCTION("""COMPUTED_VALUE"""),1.0)</f>
        <v>1</v>
      </c>
      <c r="P28" s="97"/>
      <c r="Q28" s="98">
        <f>IFERROR(__xludf.DUMMYFUNCTION("""COMPUTED_VALUE"""),5.0)</f>
        <v>5</v>
      </c>
      <c r="R28" s="78"/>
      <c r="S28" s="97"/>
      <c r="T28" s="78"/>
      <c r="U28" s="96">
        <f>IFERROR(__xludf.DUMMYFUNCTION("""COMPUTED_VALUE"""),2.0)</f>
        <v>2</v>
      </c>
      <c r="V28" s="97"/>
      <c r="W28" s="96"/>
      <c r="X28" s="97">
        <f>IFERROR(__xludf.DUMMYFUNCTION("""COMPUTED_VALUE"""),4.0)</f>
        <v>4</v>
      </c>
      <c r="Y28" s="78">
        <f>IFERROR(__xludf.DUMMYFUNCTION("""COMPUTED_VALUE"""),5.0)</f>
        <v>5</v>
      </c>
      <c r="Z28" s="78">
        <f>IFERROR(__xludf.DUMMYFUNCTION("""COMPUTED_VALUE"""),5.0)</f>
        <v>5</v>
      </c>
      <c r="AA28" s="78">
        <f>IFERROR(__xludf.DUMMYFUNCTION("""COMPUTED_VALUE"""),5.0)</f>
        <v>5</v>
      </c>
      <c r="AB28" s="98">
        <f>IFERROR(__xludf.DUMMYFUNCTION("""COMPUTED_VALUE"""),5.0)</f>
        <v>5</v>
      </c>
      <c r="AC28" s="98">
        <f>IFERROR(__xludf.DUMMYFUNCTION("""COMPUTED_VALUE"""),5.0)</f>
        <v>5</v>
      </c>
      <c r="AD28" s="78">
        <f>IFERROR(__xludf.DUMMYFUNCTION("""COMPUTED_VALUE"""),5.0)</f>
        <v>5</v>
      </c>
      <c r="AE28" s="99">
        <f>IFERROR(__xludf.DUMMYFUNCTION("""COMPUTED_VALUE"""),5.0)</f>
        <v>5</v>
      </c>
      <c r="AF28" s="97">
        <f>IFERROR(__xludf.DUMMYFUNCTION("""COMPUTED_VALUE"""),9.0)</f>
        <v>9</v>
      </c>
      <c r="AG28" s="78">
        <f>IFERROR(__xludf.DUMMYFUNCTION("""COMPUTED_VALUE"""),8.5)</f>
        <v>8.5</v>
      </c>
      <c r="AH28" s="78">
        <f>IFERROR(__xludf.DUMMYFUNCTION("""COMPUTED_VALUE"""),9.5)</f>
        <v>9.5</v>
      </c>
      <c r="AI28" s="100">
        <f>IFERROR(__xludf.DUMMYFUNCTION("""COMPUTED_VALUE"""),2.0)</f>
        <v>2</v>
      </c>
      <c r="AJ28" s="101">
        <f>IFERROR(__xludf.DUMMYFUNCTION("""COMPUTED_VALUE"""),0.0)</f>
        <v>0</v>
      </c>
      <c r="AK28" s="78">
        <f>IFERROR(__xludf.DUMMYFUNCTION("""COMPUTED_VALUE"""),18.0)</f>
        <v>18</v>
      </c>
      <c r="AL28" s="78">
        <f>IFERROR(__xludf.DUMMYFUNCTION("""COMPUTED_VALUE"""),2.1)</f>
        <v>2.1</v>
      </c>
      <c r="AM28" s="98">
        <f>IFERROR(__xludf.DUMMYFUNCTION("""COMPUTED_VALUE"""),1.95)</f>
        <v>1.95</v>
      </c>
      <c r="AN28" s="93">
        <f>IFERROR(__xludf.DUMMYFUNCTION("""COMPUTED_VALUE"""),22.25)</f>
        <v>22.25</v>
      </c>
      <c r="AO28" s="1"/>
      <c r="AP28" s="1"/>
      <c r="AQ28" s="1"/>
      <c r="AR28" s="1"/>
      <c r="AS28" s="1"/>
      <c r="AT28" s="1"/>
      <c r="AU28" s="1"/>
      <c r="AV28" s="1"/>
      <c r="AW28" s="1"/>
      <c r="AX28" s="1">
        <f>IFERROR(__xludf.DUMMYFUNCTION("""COMPUTED_VALUE"""),2.0)</f>
        <v>2</v>
      </c>
    </row>
    <row r="29">
      <c r="A29" s="78">
        <f>IFERROR(__xludf.DUMMYFUNCTION("""COMPUTED_VALUE"""),21.0)</f>
        <v>21</v>
      </c>
      <c r="B29" s="78" t="str">
        <f>IFERROR(__xludf.DUMMYFUNCTION("""COMPUTED_VALUE"""),"1000057576")</f>
        <v>1000057576</v>
      </c>
      <c r="C29" s="79" t="str">
        <f>IFERROR(__xludf.DUMMYFUNCTION("""COMPUTED_VALUE"""),"Mhutasim Khan")</f>
        <v>Mhutasim Khan</v>
      </c>
      <c r="D29" s="80" t="str">
        <f>IFERROR(__xludf.DUMMYFUNCTION("""COMPUTED_VALUE"""),"mhutasim.khan@g.bracu.ac.bd")</f>
        <v>mhutasim.khan@g.bracu.ac.bd</v>
      </c>
      <c r="E29" s="94" t="b">
        <f>IFERROR(__xludf.DUMMYFUNCTION("""COMPUTED_VALUE"""),TRUE)</f>
        <v>1</v>
      </c>
      <c r="F29" s="95">
        <f>IFERROR(__xludf.DUMMYFUNCTION("""COMPUTED_VALUE"""),0.0)</f>
        <v>0</v>
      </c>
      <c r="G29" s="96" t="str">
        <f>IFERROR(__xludf.DUMMYFUNCTION("""COMPUTED_VALUE"""),"OKAY")</f>
        <v>OKAY</v>
      </c>
      <c r="H29" s="95">
        <f>IFERROR(__xludf.DUMMYFUNCTION("""COMPUTED_VALUE"""),1.0)</f>
        <v>1</v>
      </c>
      <c r="I29" s="78">
        <f>IFERROR(__xludf.DUMMYFUNCTION("""COMPUTED_VALUE"""),1.0)</f>
        <v>1</v>
      </c>
      <c r="J29" s="78">
        <f>IFERROR(__xludf.DUMMYFUNCTION("""COMPUTED_VALUE"""),1.0)</f>
        <v>1</v>
      </c>
      <c r="K29" s="78">
        <f>IFERROR(__xludf.DUMMYFUNCTION("""COMPUTED_VALUE"""),1.0)</f>
        <v>1</v>
      </c>
      <c r="L29" s="78">
        <f>IFERROR(__xludf.DUMMYFUNCTION("""COMPUTED_VALUE"""),1.0)</f>
        <v>1</v>
      </c>
      <c r="M29" s="78">
        <f>IFERROR(__xludf.DUMMYFUNCTION("""COMPUTED_VALUE"""),1.0)</f>
        <v>1</v>
      </c>
      <c r="N29" s="78">
        <f>IFERROR(__xludf.DUMMYFUNCTION("""COMPUTED_VALUE"""),1.0)</f>
        <v>1</v>
      </c>
      <c r="O29" s="96">
        <f>IFERROR(__xludf.DUMMYFUNCTION("""COMPUTED_VALUE"""),1.0)</f>
        <v>1</v>
      </c>
      <c r="P29" s="97"/>
      <c r="Q29" s="98">
        <f>IFERROR(__xludf.DUMMYFUNCTION("""COMPUTED_VALUE"""),5.0)</f>
        <v>5</v>
      </c>
      <c r="R29" s="78"/>
      <c r="S29" s="97"/>
      <c r="T29" s="78"/>
      <c r="U29" s="96">
        <f>IFERROR(__xludf.DUMMYFUNCTION("""COMPUTED_VALUE"""),5.0)</f>
        <v>5</v>
      </c>
      <c r="V29" s="97"/>
      <c r="W29" s="96"/>
      <c r="X29" s="97">
        <f>IFERROR(__xludf.DUMMYFUNCTION("""COMPUTED_VALUE"""),5.0)</f>
        <v>5</v>
      </c>
      <c r="Y29" s="78">
        <f>IFERROR(__xludf.DUMMYFUNCTION("""COMPUTED_VALUE"""),5.0)</f>
        <v>5</v>
      </c>
      <c r="Z29" s="78">
        <f>IFERROR(__xludf.DUMMYFUNCTION("""COMPUTED_VALUE"""),5.0)</f>
        <v>5</v>
      </c>
      <c r="AA29" s="78">
        <f>IFERROR(__xludf.DUMMYFUNCTION("""COMPUTED_VALUE"""),4.17)</f>
        <v>4.17</v>
      </c>
      <c r="AB29" s="98">
        <f>IFERROR(__xludf.DUMMYFUNCTION("""COMPUTED_VALUE"""),5.0)</f>
        <v>5</v>
      </c>
      <c r="AC29" s="98">
        <f>IFERROR(__xludf.DUMMYFUNCTION("""COMPUTED_VALUE"""),5.0)</f>
        <v>5</v>
      </c>
      <c r="AD29" s="78">
        <f>IFERROR(__xludf.DUMMYFUNCTION("""COMPUTED_VALUE"""),5.0)</f>
        <v>5</v>
      </c>
      <c r="AE29" s="99">
        <f>IFERROR(__xludf.DUMMYFUNCTION("""COMPUTED_VALUE"""),5.0)</f>
        <v>5</v>
      </c>
      <c r="AF29" s="97">
        <f>IFERROR(__xludf.DUMMYFUNCTION("""COMPUTED_VALUE"""),10.0)</f>
        <v>10</v>
      </c>
      <c r="AG29" s="78">
        <f>IFERROR(__xludf.DUMMYFUNCTION("""COMPUTED_VALUE"""),10.0)</f>
        <v>10</v>
      </c>
      <c r="AH29" s="78">
        <f>IFERROR(__xludf.DUMMYFUNCTION("""COMPUTED_VALUE"""),10.0)</f>
        <v>10</v>
      </c>
      <c r="AI29" s="100">
        <f>IFERROR(__xludf.DUMMYFUNCTION("""COMPUTED_VALUE"""),9.0)</f>
        <v>9</v>
      </c>
      <c r="AJ29" s="101">
        <f>IFERROR(__xludf.DUMMYFUNCTION("""COMPUTED_VALUE"""),0.0)</f>
        <v>0</v>
      </c>
      <c r="AK29" s="78">
        <f>IFERROR(__xludf.DUMMYFUNCTION("""COMPUTED_VALUE"""),20.0)</f>
        <v>20</v>
      </c>
      <c r="AL29" s="78">
        <f>IFERROR(__xludf.DUMMYFUNCTION("""COMPUTED_VALUE"""),3.0)</f>
        <v>3</v>
      </c>
      <c r="AM29" s="98">
        <f>IFERROR(__xludf.DUMMYFUNCTION("""COMPUTED_VALUE"""),1.959)</f>
        <v>1.959</v>
      </c>
      <c r="AN29" s="93">
        <f>IFERROR(__xludf.DUMMYFUNCTION("""COMPUTED_VALUE"""),25.0)</f>
        <v>25</v>
      </c>
      <c r="AO29" s="1"/>
      <c r="AP29" s="1"/>
      <c r="AQ29" s="1"/>
      <c r="AR29" s="1"/>
      <c r="AS29" s="1"/>
      <c r="AT29" s="1"/>
      <c r="AU29" s="1"/>
      <c r="AV29" s="1"/>
      <c r="AW29" s="1"/>
      <c r="AX29" s="1">
        <f>IFERROR(__xludf.DUMMYFUNCTION("""COMPUTED_VALUE"""),2.0)</f>
        <v>2</v>
      </c>
    </row>
    <row r="30">
      <c r="A30" s="78">
        <f>IFERROR(__xludf.DUMMYFUNCTION("""COMPUTED_VALUE"""),22.0)</f>
        <v>22</v>
      </c>
      <c r="B30" s="78" t="str">
        <f>IFERROR(__xludf.DUMMYFUNCTION("""COMPUTED_VALUE"""),"1000057580")</f>
        <v>1000057580</v>
      </c>
      <c r="C30" s="79" t="str">
        <f>IFERROR(__xludf.DUMMYFUNCTION("""COMPUTED_VALUE"""),"Taskia Rashid Anuva")</f>
        <v>Taskia Rashid Anuva</v>
      </c>
      <c r="D30" s="80" t="str">
        <f>IFERROR(__xludf.DUMMYFUNCTION("""COMPUTED_VALUE"""),"taskia.rashid.anuva@g.bracu.ac.bd")</f>
        <v>taskia.rashid.anuva@g.bracu.ac.bd</v>
      </c>
      <c r="E30" s="94" t="b">
        <f>IFERROR(__xludf.DUMMYFUNCTION("""COMPUTED_VALUE"""),TRUE)</f>
        <v>1</v>
      </c>
      <c r="F30" s="95">
        <f>IFERROR(__xludf.DUMMYFUNCTION("""COMPUTED_VALUE"""),0.0)</f>
        <v>0</v>
      </c>
      <c r="G30" s="96" t="str">
        <f>IFERROR(__xludf.DUMMYFUNCTION("""COMPUTED_VALUE"""),"OKAY")</f>
        <v>OKAY</v>
      </c>
      <c r="H30" s="95">
        <f>IFERROR(__xludf.DUMMYFUNCTION("""COMPUTED_VALUE"""),1.0)</f>
        <v>1</v>
      </c>
      <c r="I30" s="78">
        <f>IFERROR(__xludf.DUMMYFUNCTION("""COMPUTED_VALUE"""),1.0)</f>
        <v>1</v>
      </c>
      <c r="J30" s="78">
        <f>IFERROR(__xludf.DUMMYFUNCTION("""COMPUTED_VALUE"""),1.0)</f>
        <v>1</v>
      </c>
      <c r="K30" s="78">
        <f>IFERROR(__xludf.DUMMYFUNCTION("""COMPUTED_VALUE"""),1.0)</f>
        <v>1</v>
      </c>
      <c r="L30" s="78">
        <f>IFERROR(__xludf.DUMMYFUNCTION("""COMPUTED_VALUE"""),1.0)</f>
        <v>1</v>
      </c>
      <c r="M30" s="78">
        <f>IFERROR(__xludf.DUMMYFUNCTION("""COMPUTED_VALUE"""),1.0)</f>
        <v>1</v>
      </c>
      <c r="N30" s="78">
        <f>IFERROR(__xludf.DUMMYFUNCTION("""COMPUTED_VALUE"""),1.0)</f>
        <v>1</v>
      </c>
      <c r="O30" s="96">
        <f>IFERROR(__xludf.DUMMYFUNCTION("""COMPUTED_VALUE"""),1.0)</f>
        <v>1</v>
      </c>
      <c r="P30" s="97"/>
      <c r="Q30" s="98">
        <f>IFERROR(__xludf.DUMMYFUNCTION("""COMPUTED_VALUE"""),4.5)</f>
        <v>4.5</v>
      </c>
      <c r="R30" s="78"/>
      <c r="S30" s="97"/>
      <c r="T30" s="78"/>
      <c r="U30" s="96">
        <f>IFERROR(__xludf.DUMMYFUNCTION("""COMPUTED_VALUE"""),4.5)</f>
        <v>4.5</v>
      </c>
      <c r="V30" s="97"/>
      <c r="W30" s="96"/>
      <c r="X30" s="97">
        <f>IFERROR(__xludf.DUMMYFUNCTION("""COMPUTED_VALUE"""),4.5)</f>
        <v>4.5</v>
      </c>
      <c r="Y30" s="78">
        <f>IFERROR(__xludf.DUMMYFUNCTION("""COMPUTED_VALUE"""),5.0)</f>
        <v>5</v>
      </c>
      <c r="Z30" s="78">
        <f>IFERROR(__xludf.DUMMYFUNCTION("""COMPUTED_VALUE"""),5.0)</f>
        <v>5</v>
      </c>
      <c r="AA30" s="78">
        <f>IFERROR(__xludf.DUMMYFUNCTION("""COMPUTED_VALUE"""),5.0)</f>
        <v>5</v>
      </c>
      <c r="AB30" s="98">
        <f>IFERROR(__xludf.DUMMYFUNCTION("""COMPUTED_VALUE"""),5.0)</f>
        <v>5</v>
      </c>
      <c r="AC30" s="98">
        <f>IFERROR(__xludf.DUMMYFUNCTION("""COMPUTED_VALUE"""),5.0)</f>
        <v>5</v>
      </c>
      <c r="AD30" s="78">
        <f>IFERROR(__xludf.DUMMYFUNCTION("""COMPUTED_VALUE"""),5.0)</f>
        <v>5</v>
      </c>
      <c r="AE30" s="99">
        <f>IFERROR(__xludf.DUMMYFUNCTION("""COMPUTED_VALUE"""),5.0)</f>
        <v>5</v>
      </c>
      <c r="AF30" s="97">
        <f>IFERROR(__xludf.DUMMYFUNCTION("""COMPUTED_VALUE"""),9.0)</f>
        <v>9</v>
      </c>
      <c r="AG30" s="78">
        <f>IFERROR(__xludf.DUMMYFUNCTION("""COMPUTED_VALUE"""),7.5)</f>
        <v>7.5</v>
      </c>
      <c r="AH30" s="78">
        <f>IFERROR(__xludf.DUMMYFUNCTION("""COMPUTED_VALUE"""),5.5)</f>
        <v>5.5</v>
      </c>
      <c r="AI30" s="100">
        <f>IFERROR(__xludf.DUMMYFUNCTION("""COMPUTED_VALUE"""),2.0)</f>
        <v>2</v>
      </c>
      <c r="AJ30" s="101">
        <f>IFERROR(__xludf.DUMMYFUNCTION("""COMPUTED_VALUE"""),0.0)</f>
        <v>0</v>
      </c>
      <c r="AK30" s="78">
        <f>IFERROR(__xludf.DUMMYFUNCTION("""COMPUTED_VALUE"""),14.667)</f>
        <v>14.667</v>
      </c>
      <c r="AL30" s="78">
        <f>IFERROR(__xludf.DUMMYFUNCTION("""COMPUTED_VALUE"""),2.7)</f>
        <v>2.7</v>
      </c>
      <c r="AM30" s="98">
        <f>IFERROR(__xludf.DUMMYFUNCTION("""COMPUTED_VALUE"""),1.975)</f>
        <v>1.975</v>
      </c>
      <c r="AN30" s="93">
        <f>IFERROR(__xludf.DUMMYFUNCTION("""COMPUTED_VALUE"""),19.5)</f>
        <v>19.5</v>
      </c>
      <c r="AO30" s="1"/>
      <c r="AP30" s="1"/>
      <c r="AQ30" s="1"/>
      <c r="AR30" s="1"/>
      <c r="AS30" s="1"/>
      <c r="AT30" s="1"/>
      <c r="AU30" s="1"/>
      <c r="AV30" s="1"/>
      <c r="AW30" s="1"/>
      <c r="AX30" s="1">
        <f>IFERROR(__xludf.DUMMYFUNCTION("""COMPUTED_VALUE"""),2.0)</f>
        <v>2</v>
      </c>
    </row>
    <row r="31">
      <c r="A31" s="78">
        <f>IFERROR(__xludf.DUMMYFUNCTION("""COMPUTED_VALUE"""),23.0)</f>
        <v>23</v>
      </c>
      <c r="B31" s="103" t="str">
        <f>IFERROR(__xludf.DUMMYFUNCTION("""COMPUTED_VALUE"""),"1000057632")</f>
        <v>1000057632</v>
      </c>
      <c r="C31" s="104" t="str">
        <f>IFERROR(__xludf.DUMMYFUNCTION("""COMPUTED_VALUE"""),"Kahiruddin Kaokab Mahathir (Sec-10)")</f>
        <v>Kahiruddin Kaokab Mahathir (Sec-10)</v>
      </c>
      <c r="D31" s="80" t="str">
        <f>IFERROR(__xludf.DUMMYFUNCTION("""COMPUTED_VALUE"""),"kahiruddin.kaokab.mahathir@g.bracu.ac.bd")</f>
        <v>kahiruddin.kaokab.mahathir@g.bracu.ac.bd</v>
      </c>
      <c r="E31" s="94" t="b">
        <f>IFERROR(__xludf.DUMMYFUNCTION("""COMPUTED_VALUE"""),TRUE)</f>
        <v>1</v>
      </c>
      <c r="F31" s="95">
        <f>IFERROR(__xludf.DUMMYFUNCTION("""COMPUTED_VALUE"""),0.0)</f>
        <v>0</v>
      </c>
      <c r="G31" s="96" t="str">
        <f>IFERROR(__xludf.DUMMYFUNCTION("""COMPUTED_VALUE"""),"OKAY")</f>
        <v>OKAY</v>
      </c>
      <c r="H31" s="95"/>
      <c r="I31" s="78"/>
      <c r="J31" s="78"/>
      <c r="K31" s="78"/>
      <c r="L31" s="78"/>
      <c r="M31" s="78"/>
      <c r="N31" s="78"/>
      <c r="O31" s="96"/>
      <c r="P31" s="97"/>
      <c r="Q31" s="98"/>
      <c r="R31" s="78"/>
      <c r="S31" s="97"/>
      <c r="T31" s="78"/>
      <c r="U31" s="96"/>
      <c r="V31" s="97"/>
      <c r="W31" s="96"/>
      <c r="X31" s="97">
        <f>IFERROR(__xludf.DUMMYFUNCTION("""COMPUTED_VALUE"""),0.0)</f>
        <v>0</v>
      </c>
      <c r="Y31" s="78">
        <f>IFERROR(__xludf.DUMMYFUNCTION("""COMPUTED_VALUE"""),0.0)</f>
        <v>0</v>
      </c>
      <c r="Z31" s="78">
        <f>IFERROR(__xludf.DUMMYFUNCTION("""COMPUTED_VALUE"""),0.0)</f>
        <v>0</v>
      </c>
      <c r="AA31" s="78">
        <f>IFERROR(__xludf.DUMMYFUNCTION("""COMPUTED_VALUE"""),0.0)</f>
        <v>0</v>
      </c>
      <c r="AB31" s="98"/>
      <c r="AC31" s="98">
        <f>IFERROR(__xludf.DUMMYFUNCTION("""COMPUTED_VALUE"""),0.0)</f>
        <v>0</v>
      </c>
      <c r="AD31" s="78">
        <f>IFERROR(__xludf.DUMMYFUNCTION("""COMPUTED_VALUE"""),0.0)</f>
        <v>0</v>
      </c>
      <c r="AE31" s="99"/>
      <c r="AF31" s="97"/>
      <c r="AG31" s="78"/>
      <c r="AH31" s="78"/>
      <c r="AI31" s="100"/>
      <c r="AJ31" s="101">
        <f>IFERROR(__xludf.DUMMYFUNCTION("""COMPUTED_VALUE"""),0.0)</f>
        <v>0</v>
      </c>
      <c r="AK31" s="78">
        <f>IFERROR(__xludf.DUMMYFUNCTION("""COMPUTED_VALUE"""),0.0)</f>
        <v>0</v>
      </c>
      <c r="AL31" s="78">
        <f>IFERROR(__xludf.DUMMYFUNCTION("""COMPUTED_VALUE"""),0.0)</f>
        <v>0</v>
      </c>
      <c r="AM31" s="98">
        <f>IFERROR(__xludf.DUMMYFUNCTION("""COMPUTED_VALUE"""),0.0)</f>
        <v>0</v>
      </c>
      <c r="AN31" s="93">
        <f>IFERROR(__xludf.DUMMYFUNCTION("""COMPUTED_VALUE"""),0.0)</f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>
        <f>IFERROR(__xludf.DUMMYFUNCTION("""COMPUTED_VALUE"""),0.0)</f>
        <v>0</v>
      </c>
    </row>
    <row r="32">
      <c r="A32" s="78">
        <f>IFERROR(__xludf.DUMMYFUNCTION("""COMPUTED_VALUE"""),24.0)</f>
        <v>24</v>
      </c>
      <c r="B32" s="78" t="str">
        <f>IFERROR(__xludf.DUMMYFUNCTION("""COMPUTED_VALUE"""),"1000057642")</f>
        <v>1000057642</v>
      </c>
      <c r="C32" s="79" t="str">
        <f>IFERROR(__xludf.DUMMYFUNCTION("""COMPUTED_VALUE"""),"Md. Ahnaf Zahin")</f>
        <v>Md. Ahnaf Zahin</v>
      </c>
      <c r="D32" s="80" t="str">
        <f>IFERROR(__xludf.DUMMYFUNCTION("""COMPUTED_VALUE"""),"md.ahnaf.zahin@g.bracu.ac.bd")</f>
        <v>md.ahnaf.zahin@g.bracu.ac.bd</v>
      </c>
      <c r="E32" s="94" t="b">
        <f>IFERROR(__xludf.DUMMYFUNCTION("""COMPUTED_VALUE"""),TRUE)</f>
        <v>1</v>
      </c>
      <c r="F32" s="95">
        <f>IFERROR(__xludf.DUMMYFUNCTION("""COMPUTED_VALUE"""),0.0)</f>
        <v>0</v>
      </c>
      <c r="G32" s="96" t="str">
        <f>IFERROR(__xludf.DUMMYFUNCTION("""COMPUTED_VALUE"""),"OKAY")</f>
        <v>OKAY</v>
      </c>
      <c r="H32" s="95">
        <f>IFERROR(__xludf.DUMMYFUNCTION("""COMPUTED_VALUE"""),1.0)</f>
        <v>1</v>
      </c>
      <c r="I32" s="78">
        <f>IFERROR(__xludf.DUMMYFUNCTION("""COMPUTED_VALUE"""),1.0)</f>
        <v>1</v>
      </c>
      <c r="J32" s="78">
        <f>IFERROR(__xludf.DUMMYFUNCTION("""COMPUTED_VALUE"""),1.0)</f>
        <v>1</v>
      </c>
      <c r="K32" s="78">
        <f>IFERROR(__xludf.DUMMYFUNCTION("""COMPUTED_VALUE"""),1.0)</f>
        <v>1</v>
      </c>
      <c r="L32" s="78">
        <f>IFERROR(__xludf.DUMMYFUNCTION("""COMPUTED_VALUE"""),1.0)</f>
        <v>1</v>
      </c>
      <c r="M32" s="78">
        <f>IFERROR(__xludf.DUMMYFUNCTION("""COMPUTED_VALUE"""),1.0)</f>
        <v>1</v>
      </c>
      <c r="N32" s="78">
        <f>IFERROR(__xludf.DUMMYFUNCTION("""COMPUTED_VALUE"""),1.0)</f>
        <v>1</v>
      </c>
      <c r="O32" s="96">
        <f>IFERROR(__xludf.DUMMYFUNCTION("""COMPUTED_VALUE"""),1.0)</f>
        <v>1</v>
      </c>
      <c r="P32" s="97"/>
      <c r="Q32" s="98">
        <f>IFERROR(__xludf.DUMMYFUNCTION("""COMPUTED_VALUE"""),5.0)</f>
        <v>5</v>
      </c>
      <c r="R32" s="78"/>
      <c r="S32" s="97"/>
      <c r="T32" s="78"/>
      <c r="U32" s="96">
        <f>IFERROR(__xludf.DUMMYFUNCTION("""COMPUTED_VALUE"""),5.0)</f>
        <v>5</v>
      </c>
      <c r="V32" s="97"/>
      <c r="W32" s="96"/>
      <c r="X32" s="97">
        <f>IFERROR(__xludf.DUMMYFUNCTION("""COMPUTED_VALUE"""),5.0)</f>
        <v>5</v>
      </c>
      <c r="Y32" s="78">
        <f>IFERROR(__xludf.DUMMYFUNCTION("""COMPUTED_VALUE"""),4.16)</f>
        <v>4.16</v>
      </c>
      <c r="Z32" s="78">
        <f>IFERROR(__xludf.DUMMYFUNCTION("""COMPUTED_VALUE"""),4.83)</f>
        <v>4.83</v>
      </c>
      <c r="AA32" s="78">
        <f>IFERROR(__xludf.DUMMYFUNCTION("""COMPUTED_VALUE"""),0.0)</f>
        <v>0</v>
      </c>
      <c r="AB32" s="98">
        <f>IFERROR(__xludf.DUMMYFUNCTION("""COMPUTED_VALUE"""),3.18)</f>
        <v>3.18</v>
      </c>
      <c r="AC32" s="98">
        <f>IFERROR(__xludf.DUMMYFUNCTION("""COMPUTED_VALUE"""),5.0)</f>
        <v>5</v>
      </c>
      <c r="AD32" s="78">
        <f>IFERROR(__xludf.DUMMYFUNCTION("""COMPUTED_VALUE"""),4.17)</f>
        <v>4.17</v>
      </c>
      <c r="AE32" s="99">
        <f>IFERROR(__xludf.DUMMYFUNCTION("""COMPUTED_VALUE"""),3.3)</f>
        <v>3.3</v>
      </c>
      <c r="AF32" s="97">
        <f>IFERROR(__xludf.DUMMYFUNCTION("""COMPUTED_VALUE"""),10.0)</f>
        <v>10</v>
      </c>
      <c r="AG32" s="78">
        <f>IFERROR(__xludf.DUMMYFUNCTION("""COMPUTED_VALUE"""),10.0)</f>
        <v>10</v>
      </c>
      <c r="AH32" s="78">
        <f>IFERROR(__xludf.DUMMYFUNCTION("""COMPUTED_VALUE"""),10.0)</f>
        <v>10</v>
      </c>
      <c r="AI32" s="100">
        <f>IFERROR(__xludf.DUMMYFUNCTION("""COMPUTED_VALUE"""),8.0)</f>
        <v>8</v>
      </c>
      <c r="AJ32" s="101">
        <f>IFERROR(__xludf.DUMMYFUNCTION("""COMPUTED_VALUE"""),0.0)</f>
        <v>0</v>
      </c>
      <c r="AK32" s="78">
        <f>IFERROR(__xludf.DUMMYFUNCTION("""COMPUTED_VALUE"""),20.0)</f>
        <v>20</v>
      </c>
      <c r="AL32" s="78">
        <f>IFERROR(__xludf.DUMMYFUNCTION("""COMPUTED_VALUE"""),3.0)</f>
        <v>3</v>
      </c>
      <c r="AM32" s="98">
        <f>IFERROR(__xludf.DUMMYFUNCTION("""COMPUTED_VALUE"""),1.482)</f>
        <v>1.482</v>
      </c>
      <c r="AN32" s="93">
        <f>IFERROR(__xludf.DUMMYFUNCTION("""COMPUTED_VALUE"""),24.5)</f>
        <v>24.5</v>
      </c>
      <c r="AO32" s="1"/>
      <c r="AP32" s="1"/>
      <c r="AQ32" s="1"/>
      <c r="AR32" s="1"/>
      <c r="AS32" s="1"/>
      <c r="AT32" s="1"/>
      <c r="AU32" s="1"/>
      <c r="AV32" s="1"/>
      <c r="AW32" s="1"/>
      <c r="AX32" s="1">
        <f>IFERROR(__xludf.DUMMYFUNCTION("""COMPUTED_VALUE"""),2.0)</f>
        <v>2</v>
      </c>
    </row>
    <row r="33">
      <c r="A33" s="78">
        <f>IFERROR(__xludf.DUMMYFUNCTION("""COMPUTED_VALUE"""),25.0)</f>
        <v>25</v>
      </c>
      <c r="B33" s="78" t="str">
        <f>IFERROR(__xludf.DUMMYFUNCTION("""COMPUTED_VALUE"""),"1000057748")</f>
        <v>1000057748</v>
      </c>
      <c r="C33" s="79" t="str">
        <f>IFERROR(__xludf.DUMMYFUNCTION("""COMPUTED_VALUE"""),"Raiyan Kabir")</f>
        <v>Raiyan Kabir</v>
      </c>
      <c r="D33" s="80" t="str">
        <f>IFERROR(__xludf.DUMMYFUNCTION("""COMPUTED_VALUE"""),"raiyan.kabir1@g.bracu.ac.bd")</f>
        <v>raiyan.kabir1@g.bracu.ac.bd</v>
      </c>
      <c r="E33" s="94" t="b">
        <f>IFERROR(__xludf.DUMMYFUNCTION("""COMPUTED_VALUE"""),TRUE)</f>
        <v>1</v>
      </c>
      <c r="F33" s="95">
        <f>IFERROR(__xludf.DUMMYFUNCTION("""COMPUTED_VALUE"""),1.0)</f>
        <v>1</v>
      </c>
      <c r="G33" s="96" t="str">
        <f>IFERROR(__xludf.DUMMYFUNCTION("""COMPUTED_VALUE"""),"WARNING")</f>
        <v>WARNING</v>
      </c>
      <c r="H33" s="95">
        <f>IFERROR(__xludf.DUMMYFUNCTION("""COMPUTED_VALUE"""),1.0)</f>
        <v>1</v>
      </c>
      <c r="I33" s="78">
        <f>IFERROR(__xludf.DUMMYFUNCTION("""COMPUTED_VALUE"""),1.0)</f>
        <v>1</v>
      </c>
      <c r="J33" s="78">
        <f>IFERROR(__xludf.DUMMYFUNCTION("""COMPUTED_VALUE"""),1.0)</f>
        <v>1</v>
      </c>
      <c r="K33" s="78">
        <f>IFERROR(__xludf.DUMMYFUNCTION("""COMPUTED_VALUE"""),1.0)</f>
        <v>1</v>
      </c>
      <c r="L33" s="78">
        <f>IFERROR(__xludf.DUMMYFUNCTION("""COMPUTED_VALUE"""),1.0)</f>
        <v>1</v>
      </c>
      <c r="M33" s="78">
        <f>IFERROR(__xludf.DUMMYFUNCTION("""COMPUTED_VALUE"""),1.0)</f>
        <v>1</v>
      </c>
      <c r="N33" s="78">
        <f>IFERROR(__xludf.DUMMYFUNCTION("""COMPUTED_VALUE"""),1.0)</f>
        <v>1</v>
      </c>
      <c r="O33" s="96">
        <f>IFERROR(__xludf.DUMMYFUNCTION("""COMPUTED_VALUE"""),0.0)</f>
        <v>0</v>
      </c>
      <c r="P33" s="97"/>
      <c r="Q33" s="98">
        <f>IFERROR(__xludf.DUMMYFUNCTION("""COMPUTED_VALUE"""),5.0)</f>
        <v>5</v>
      </c>
      <c r="R33" s="78"/>
      <c r="S33" s="97"/>
      <c r="T33" s="78"/>
      <c r="U33" s="96">
        <f>IFERROR(__xludf.DUMMYFUNCTION("""COMPUTED_VALUE"""),2.5)</f>
        <v>2.5</v>
      </c>
      <c r="V33" s="97"/>
      <c r="W33" s="96"/>
      <c r="X33" s="97">
        <f>IFERROR(__xludf.DUMMYFUNCTION("""COMPUTED_VALUE"""),4.3)</f>
        <v>4.3</v>
      </c>
      <c r="Y33" s="78">
        <f>IFERROR(__xludf.DUMMYFUNCTION("""COMPUTED_VALUE"""),5.0)</f>
        <v>5</v>
      </c>
      <c r="Z33" s="78">
        <f>IFERROR(__xludf.DUMMYFUNCTION("""COMPUTED_VALUE"""),5.0)</f>
        <v>5</v>
      </c>
      <c r="AA33" s="78">
        <f>IFERROR(__xludf.DUMMYFUNCTION("""COMPUTED_VALUE"""),5.0)</f>
        <v>5</v>
      </c>
      <c r="AB33" s="98">
        <f>IFERROR(__xludf.DUMMYFUNCTION("""COMPUTED_VALUE"""),5.0)</f>
        <v>5</v>
      </c>
      <c r="AC33" s="98">
        <f>IFERROR(__xludf.DUMMYFUNCTION("""COMPUTED_VALUE"""),5.0)</f>
        <v>5</v>
      </c>
      <c r="AD33" s="78">
        <f>IFERROR(__xludf.DUMMYFUNCTION("""COMPUTED_VALUE"""),5.0)</f>
        <v>5</v>
      </c>
      <c r="AE33" s="99">
        <f>IFERROR(__xludf.DUMMYFUNCTION("""COMPUTED_VALUE"""),5.0)</f>
        <v>5</v>
      </c>
      <c r="AF33" s="97">
        <f>IFERROR(__xludf.DUMMYFUNCTION("""COMPUTED_VALUE"""),5.5)</f>
        <v>5.5</v>
      </c>
      <c r="AG33" s="78">
        <f>IFERROR(__xludf.DUMMYFUNCTION("""COMPUTED_VALUE"""),8.5)</f>
        <v>8.5</v>
      </c>
      <c r="AH33" s="78">
        <f>IFERROR(__xludf.DUMMYFUNCTION("""COMPUTED_VALUE"""),5.5)</f>
        <v>5.5</v>
      </c>
      <c r="AI33" s="100"/>
      <c r="AJ33" s="101">
        <f>IFERROR(__xludf.DUMMYFUNCTION("""COMPUTED_VALUE"""),0.0)</f>
        <v>0</v>
      </c>
      <c r="AK33" s="78">
        <f>IFERROR(__xludf.DUMMYFUNCTION("""COMPUTED_VALUE"""),13.0)</f>
        <v>13</v>
      </c>
      <c r="AL33" s="78">
        <f>IFERROR(__xludf.DUMMYFUNCTION("""COMPUTED_VALUE"""),2.25)</f>
        <v>2.25</v>
      </c>
      <c r="AM33" s="98">
        <f>IFERROR(__xludf.DUMMYFUNCTION("""COMPUTED_VALUE"""),1.965)</f>
        <v>1.965</v>
      </c>
      <c r="AN33" s="93">
        <f>IFERROR(__xludf.DUMMYFUNCTION("""COMPUTED_VALUE"""),17.25)</f>
        <v>17.25</v>
      </c>
      <c r="AO33" s="1"/>
      <c r="AP33" s="1"/>
      <c r="AQ33" s="1"/>
      <c r="AR33" s="1"/>
      <c r="AS33" s="1"/>
      <c r="AT33" s="1"/>
      <c r="AU33" s="1"/>
      <c r="AV33" s="1"/>
      <c r="AW33" s="1"/>
      <c r="AX33" s="1">
        <f>IFERROR(__xludf.DUMMYFUNCTION("""COMPUTED_VALUE"""),2.0)</f>
        <v>2</v>
      </c>
    </row>
    <row r="34">
      <c r="A34" s="78">
        <f>IFERROR(__xludf.DUMMYFUNCTION("""COMPUTED_VALUE"""),26.0)</f>
        <v>26</v>
      </c>
      <c r="B34" s="78" t="str">
        <f>IFERROR(__xludf.DUMMYFUNCTION("""COMPUTED_VALUE"""),"1000057957")</f>
        <v>1000057957</v>
      </c>
      <c r="C34" s="79" t="str">
        <f>IFERROR(__xludf.DUMMYFUNCTION("""COMPUTED_VALUE"""),"Samin Nur Chy")</f>
        <v>Samin Nur Chy</v>
      </c>
      <c r="D34" s="80" t="str">
        <f>IFERROR(__xludf.DUMMYFUNCTION("""COMPUTED_VALUE"""),"samin.nur.chy@g.bracu.ac.bd")</f>
        <v>samin.nur.chy@g.bracu.ac.bd</v>
      </c>
      <c r="E34" s="94" t="b">
        <f>IFERROR(__xludf.DUMMYFUNCTION("""COMPUTED_VALUE"""),TRUE)</f>
        <v>1</v>
      </c>
      <c r="F34" s="95">
        <f>IFERROR(__xludf.DUMMYFUNCTION("""COMPUTED_VALUE"""),0.0)</f>
        <v>0</v>
      </c>
      <c r="G34" s="96" t="str">
        <f>IFERROR(__xludf.DUMMYFUNCTION("""COMPUTED_VALUE"""),"OKAY")</f>
        <v>OKAY</v>
      </c>
      <c r="H34" s="95">
        <f>IFERROR(__xludf.DUMMYFUNCTION("""COMPUTED_VALUE"""),1.0)</f>
        <v>1</v>
      </c>
      <c r="I34" s="78">
        <f>IFERROR(__xludf.DUMMYFUNCTION("""COMPUTED_VALUE"""),1.0)</f>
        <v>1</v>
      </c>
      <c r="J34" s="78">
        <f>IFERROR(__xludf.DUMMYFUNCTION("""COMPUTED_VALUE"""),1.0)</f>
        <v>1</v>
      </c>
      <c r="K34" s="78">
        <f>IFERROR(__xludf.DUMMYFUNCTION("""COMPUTED_VALUE"""),1.0)</f>
        <v>1</v>
      </c>
      <c r="L34" s="78">
        <f>IFERROR(__xludf.DUMMYFUNCTION("""COMPUTED_VALUE"""),1.0)</f>
        <v>1</v>
      </c>
      <c r="M34" s="78" t="str">
        <f>IFERROR(__xludf.DUMMYFUNCTION("""COMPUTED_VALUE"""),"S")</f>
        <v>S</v>
      </c>
      <c r="N34" s="78">
        <f>IFERROR(__xludf.DUMMYFUNCTION("""COMPUTED_VALUE"""),1.0)</f>
        <v>1</v>
      </c>
      <c r="O34" s="96">
        <f>IFERROR(__xludf.DUMMYFUNCTION("""COMPUTED_VALUE"""),1.0)</f>
        <v>1</v>
      </c>
      <c r="P34" s="97"/>
      <c r="Q34" s="98">
        <f>IFERROR(__xludf.DUMMYFUNCTION("""COMPUTED_VALUE"""),5.0)</f>
        <v>5</v>
      </c>
      <c r="R34" s="78"/>
      <c r="S34" s="97"/>
      <c r="T34" s="78"/>
      <c r="U34" s="96"/>
      <c r="V34" s="97"/>
      <c r="W34" s="96"/>
      <c r="X34" s="97">
        <f>IFERROR(__xludf.DUMMYFUNCTION("""COMPUTED_VALUE"""),4.7)</f>
        <v>4.7</v>
      </c>
      <c r="Y34" s="78">
        <f>IFERROR(__xludf.DUMMYFUNCTION("""COMPUTED_VALUE"""),5.0)</f>
        <v>5</v>
      </c>
      <c r="Z34" s="78">
        <f>IFERROR(__xludf.DUMMYFUNCTION("""COMPUTED_VALUE"""),5.0)</f>
        <v>5</v>
      </c>
      <c r="AA34" s="78">
        <f>IFERROR(__xludf.DUMMYFUNCTION("""COMPUTED_VALUE"""),5.0)</f>
        <v>5</v>
      </c>
      <c r="AB34" s="98">
        <f>IFERROR(__xludf.DUMMYFUNCTION("""COMPUTED_VALUE"""),5.0)</f>
        <v>5</v>
      </c>
      <c r="AC34" s="98">
        <f>IFERROR(__xludf.DUMMYFUNCTION("""COMPUTED_VALUE"""),5.0)</f>
        <v>5</v>
      </c>
      <c r="AD34" s="78">
        <f>IFERROR(__xludf.DUMMYFUNCTION("""COMPUTED_VALUE"""),4.83)</f>
        <v>4.83</v>
      </c>
      <c r="AE34" s="99">
        <f>IFERROR(__xludf.DUMMYFUNCTION("""COMPUTED_VALUE"""),5.0)</f>
        <v>5</v>
      </c>
      <c r="AF34" s="97">
        <f>IFERROR(__xludf.DUMMYFUNCTION("""COMPUTED_VALUE"""),6.5)</f>
        <v>6.5</v>
      </c>
      <c r="AG34" s="78"/>
      <c r="AH34" s="78">
        <f>IFERROR(__xludf.DUMMYFUNCTION("""COMPUTED_VALUE"""),9.5)</f>
        <v>9.5</v>
      </c>
      <c r="AI34" s="100">
        <f>IFERROR(__xludf.DUMMYFUNCTION("""COMPUTED_VALUE"""),2.0)</f>
        <v>2</v>
      </c>
      <c r="AJ34" s="101">
        <f>IFERROR(__xludf.DUMMYFUNCTION("""COMPUTED_VALUE"""),0.0)</f>
        <v>0</v>
      </c>
      <c r="AK34" s="78">
        <f>IFERROR(__xludf.DUMMYFUNCTION("""COMPUTED_VALUE"""),12.0)</f>
        <v>12</v>
      </c>
      <c r="AL34" s="78">
        <f>IFERROR(__xludf.DUMMYFUNCTION("""COMPUTED_VALUE"""),1.5)</f>
        <v>1.5</v>
      </c>
      <c r="AM34" s="98">
        <f>IFERROR(__xludf.DUMMYFUNCTION("""COMPUTED_VALUE"""),1.977)</f>
        <v>1.977</v>
      </c>
      <c r="AN34" s="93">
        <f>IFERROR(__xludf.DUMMYFUNCTION("""COMPUTED_VALUE"""),15.5)</f>
        <v>15.5</v>
      </c>
      <c r="AO34" s="1"/>
      <c r="AP34" s="1"/>
      <c r="AQ34" s="1"/>
      <c r="AR34" s="1"/>
      <c r="AS34" s="1"/>
      <c r="AT34" s="1"/>
      <c r="AU34" s="1"/>
      <c r="AV34" s="1"/>
      <c r="AW34" s="1"/>
      <c r="AX34" s="1">
        <f>IFERROR(__xludf.DUMMYFUNCTION("""COMPUTED_VALUE"""),1.0)</f>
        <v>1</v>
      </c>
    </row>
    <row r="35">
      <c r="A35" s="78">
        <f>IFERROR(__xludf.DUMMYFUNCTION("""COMPUTED_VALUE"""),27.0)</f>
        <v>27</v>
      </c>
      <c r="B35" s="78" t="str">
        <f>IFERROR(__xludf.DUMMYFUNCTION("""COMPUTED_VALUE"""),"1000057961")</f>
        <v>1000057961</v>
      </c>
      <c r="C35" s="79" t="str">
        <f>IFERROR(__xludf.DUMMYFUNCTION("""COMPUTED_VALUE"""),"Imrul Taher Sarker")</f>
        <v>Imrul Taher Sarker</v>
      </c>
      <c r="D35" s="80" t="str">
        <f>IFERROR(__xludf.DUMMYFUNCTION("""COMPUTED_VALUE"""),"imrul.taher.sarker@g.bracu.ac.bd")</f>
        <v>imrul.taher.sarker@g.bracu.ac.bd</v>
      </c>
      <c r="E35" s="94" t="b">
        <f>IFERROR(__xludf.DUMMYFUNCTION("""COMPUTED_VALUE"""),TRUE)</f>
        <v>1</v>
      </c>
      <c r="F35" s="95">
        <f>IFERROR(__xludf.DUMMYFUNCTION("""COMPUTED_VALUE"""),0.0)</f>
        <v>0</v>
      </c>
      <c r="G35" s="96" t="str">
        <f>IFERROR(__xludf.DUMMYFUNCTION("""COMPUTED_VALUE"""),"OKAY")</f>
        <v>OKAY</v>
      </c>
      <c r="H35" s="95">
        <f>IFERROR(__xludf.DUMMYFUNCTION("""COMPUTED_VALUE"""),1.0)</f>
        <v>1</v>
      </c>
      <c r="I35" s="78">
        <f>IFERROR(__xludf.DUMMYFUNCTION("""COMPUTED_VALUE"""),1.0)</f>
        <v>1</v>
      </c>
      <c r="J35" s="78">
        <f>IFERROR(__xludf.DUMMYFUNCTION("""COMPUTED_VALUE"""),1.0)</f>
        <v>1</v>
      </c>
      <c r="K35" s="78">
        <f>IFERROR(__xludf.DUMMYFUNCTION("""COMPUTED_VALUE"""),1.0)</f>
        <v>1</v>
      </c>
      <c r="L35" s="78">
        <f>IFERROR(__xludf.DUMMYFUNCTION("""COMPUTED_VALUE"""),1.0)</f>
        <v>1</v>
      </c>
      <c r="M35" s="78">
        <f>IFERROR(__xludf.DUMMYFUNCTION("""COMPUTED_VALUE"""),1.0)</f>
        <v>1</v>
      </c>
      <c r="N35" s="78">
        <f>IFERROR(__xludf.DUMMYFUNCTION("""COMPUTED_VALUE"""),1.0)</f>
        <v>1</v>
      </c>
      <c r="O35" s="96">
        <f>IFERROR(__xludf.DUMMYFUNCTION("""COMPUTED_VALUE"""),1.0)</f>
        <v>1</v>
      </c>
      <c r="P35" s="97"/>
      <c r="Q35" s="105">
        <f>IFERROR(__xludf.DUMMYFUNCTION("""COMPUTED_VALUE"""),4.5)</f>
        <v>4.5</v>
      </c>
      <c r="R35" s="78"/>
      <c r="S35" s="97"/>
      <c r="T35" s="78"/>
      <c r="U35" s="96">
        <f>IFERROR(__xludf.DUMMYFUNCTION("""COMPUTED_VALUE"""),2.5)</f>
        <v>2.5</v>
      </c>
      <c r="V35" s="97"/>
      <c r="W35" s="96"/>
      <c r="X35" s="97">
        <f>IFERROR(__xludf.DUMMYFUNCTION("""COMPUTED_VALUE"""),4.8)</f>
        <v>4.8</v>
      </c>
      <c r="Y35" s="78">
        <f>IFERROR(__xludf.DUMMYFUNCTION("""COMPUTED_VALUE"""),5.0)</f>
        <v>5</v>
      </c>
      <c r="Z35" s="78">
        <f>IFERROR(__xludf.DUMMYFUNCTION("""COMPUTED_VALUE"""),5.0)</f>
        <v>5</v>
      </c>
      <c r="AA35" s="78">
        <f>IFERROR(__xludf.DUMMYFUNCTION("""COMPUTED_VALUE"""),5.0)</f>
        <v>5</v>
      </c>
      <c r="AB35" s="98">
        <f>IFERROR(__xludf.DUMMYFUNCTION("""COMPUTED_VALUE"""),4.42)</f>
        <v>4.42</v>
      </c>
      <c r="AC35" s="98">
        <f>IFERROR(__xludf.DUMMYFUNCTION("""COMPUTED_VALUE"""),5.0)</f>
        <v>5</v>
      </c>
      <c r="AD35" s="78">
        <f>IFERROR(__xludf.DUMMYFUNCTION("""COMPUTED_VALUE"""),5.0)</f>
        <v>5</v>
      </c>
      <c r="AE35" s="99">
        <f>IFERROR(__xludf.DUMMYFUNCTION("""COMPUTED_VALUE"""),5.0)</f>
        <v>5</v>
      </c>
      <c r="AF35" s="97">
        <f>IFERROR(__xludf.DUMMYFUNCTION("""COMPUTED_VALUE"""),10.0)</f>
        <v>10</v>
      </c>
      <c r="AG35" s="78">
        <f>IFERROR(__xludf.DUMMYFUNCTION("""COMPUTED_VALUE"""),9.5)</f>
        <v>9.5</v>
      </c>
      <c r="AH35" s="78">
        <f>IFERROR(__xludf.DUMMYFUNCTION("""COMPUTED_VALUE"""),9.5)</f>
        <v>9.5</v>
      </c>
      <c r="AI35" s="100">
        <f>IFERROR(__xludf.DUMMYFUNCTION("""COMPUTED_VALUE"""),1.0)</f>
        <v>1</v>
      </c>
      <c r="AJ35" s="101">
        <f>IFERROR(__xludf.DUMMYFUNCTION("""COMPUTED_VALUE"""),0.0)</f>
        <v>0</v>
      </c>
      <c r="AK35" s="78">
        <f>IFERROR(__xludf.DUMMYFUNCTION("""COMPUTED_VALUE"""),19.334)</f>
        <v>19.334</v>
      </c>
      <c r="AL35" s="78">
        <f>IFERROR(__xludf.DUMMYFUNCTION("""COMPUTED_VALUE"""),2.1)</f>
        <v>2.1</v>
      </c>
      <c r="AM35" s="98">
        <f>IFERROR(__xludf.DUMMYFUNCTION("""COMPUTED_VALUE"""),1.961)</f>
        <v>1.961</v>
      </c>
      <c r="AN35" s="93">
        <f>IFERROR(__xludf.DUMMYFUNCTION("""COMPUTED_VALUE"""),23.5)</f>
        <v>23.5</v>
      </c>
      <c r="AO35" s="1"/>
      <c r="AP35" s="1"/>
      <c r="AQ35" s="1"/>
      <c r="AR35" s="1"/>
      <c r="AS35" s="1"/>
      <c r="AT35" s="1"/>
      <c r="AU35" s="1"/>
      <c r="AV35" s="1"/>
      <c r="AW35" s="1"/>
      <c r="AX35" s="1">
        <f>IFERROR(__xludf.DUMMYFUNCTION("""COMPUTED_VALUE"""),2.0)</f>
        <v>2</v>
      </c>
    </row>
    <row r="36">
      <c r="A36" s="78">
        <f>IFERROR(__xludf.DUMMYFUNCTION("""COMPUTED_VALUE"""),28.0)</f>
        <v>28</v>
      </c>
      <c r="B36" s="78" t="str">
        <f>IFERROR(__xludf.DUMMYFUNCTION("""COMPUTED_VALUE"""),"1000058024")</f>
        <v>1000058024</v>
      </c>
      <c r="C36" s="79" t="str">
        <f>IFERROR(__xludf.DUMMYFUNCTION("""COMPUTED_VALUE"""),"Shanjida Tasnim Tonima")</f>
        <v>Shanjida Tasnim Tonima</v>
      </c>
      <c r="D36" s="80" t="str">
        <f>IFERROR(__xludf.DUMMYFUNCTION("""COMPUTED_VALUE"""),"shanjida.tasnim.tonima@g.bracu.ac.bd")</f>
        <v>shanjida.tasnim.tonima@g.bracu.ac.bd</v>
      </c>
      <c r="E36" s="94" t="b">
        <f>IFERROR(__xludf.DUMMYFUNCTION("""COMPUTED_VALUE"""),TRUE)</f>
        <v>1</v>
      </c>
      <c r="F36" s="95">
        <f>IFERROR(__xludf.DUMMYFUNCTION("""COMPUTED_VALUE"""),0.0)</f>
        <v>0</v>
      </c>
      <c r="G36" s="96" t="str">
        <f>IFERROR(__xludf.DUMMYFUNCTION("""COMPUTED_VALUE"""),"OKAY")</f>
        <v>OKAY</v>
      </c>
      <c r="H36" s="95">
        <f>IFERROR(__xludf.DUMMYFUNCTION("""COMPUTED_VALUE"""),1.0)</f>
        <v>1</v>
      </c>
      <c r="I36" s="78">
        <f>IFERROR(__xludf.DUMMYFUNCTION("""COMPUTED_VALUE"""),1.0)</f>
        <v>1</v>
      </c>
      <c r="J36" s="78">
        <f>IFERROR(__xludf.DUMMYFUNCTION("""COMPUTED_VALUE"""),1.0)</f>
        <v>1</v>
      </c>
      <c r="K36" s="78">
        <f>IFERROR(__xludf.DUMMYFUNCTION("""COMPUTED_VALUE"""),1.0)</f>
        <v>1</v>
      </c>
      <c r="L36" s="78">
        <f>IFERROR(__xludf.DUMMYFUNCTION("""COMPUTED_VALUE"""),1.0)</f>
        <v>1</v>
      </c>
      <c r="M36" s="78">
        <f>IFERROR(__xludf.DUMMYFUNCTION("""COMPUTED_VALUE"""),1.0)</f>
        <v>1</v>
      </c>
      <c r="N36" s="78">
        <f>IFERROR(__xludf.DUMMYFUNCTION("""COMPUTED_VALUE"""),1.0)</f>
        <v>1</v>
      </c>
      <c r="O36" s="96">
        <f>IFERROR(__xludf.DUMMYFUNCTION("""COMPUTED_VALUE"""),1.0)</f>
        <v>1</v>
      </c>
      <c r="P36" s="97"/>
      <c r="Q36" s="98">
        <f>IFERROR(__xludf.DUMMYFUNCTION("""COMPUTED_VALUE"""),5.0)</f>
        <v>5</v>
      </c>
      <c r="R36" s="78"/>
      <c r="S36" s="97"/>
      <c r="T36" s="78"/>
      <c r="U36" s="96">
        <f>IFERROR(__xludf.DUMMYFUNCTION("""COMPUTED_VALUE"""),4.5)</f>
        <v>4.5</v>
      </c>
      <c r="V36" s="97"/>
      <c r="W36" s="96"/>
      <c r="X36" s="97">
        <f>IFERROR(__xludf.DUMMYFUNCTION("""COMPUTED_VALUE"""),4.1)</f>
        <v>4.1</v>
      </c>
      <c r="Y36" s="78">
        <f>IFERROR(__xludf.DUMMYFUNCTION("""COMPUTED_VALUE"""),5.0)</f>
        <v>5</v>
      </c>
      <c r="Z36" s="78">
        <f>IFERROR(__xludf.DUMMYFUNCTION("""COMPUTED_VALUE"""),5.0)</f>
        <v>5</v>
      </c>
      <c r="AA36" s="78">
        <f>IFERROR(__xludf.DUMMYFUNCTION("""COMPUTED_VALUE"""),5.0)</f>
        <v>5</v>
      </c>
      <c r="AB36" s="98">
        <f>IFERROR(__xludf.DUMMYFUNCTION("""COMPUTED_VALUE"""),5.0)</f>
        <v>5</v>
      </c>
      <c r="AC36" s="98">
        <f>IFERROR(__xludf.DUMMYFUNCTION("""COMPUTED_VALUE"""),4.17)</f>
        <v>4.17</v>
      </c>
      <c r="AD36" s="78">
        <f>IFERROR(__xludf.DUMMYFUNCTION("""COMPUTED_VALUE"""),5.0)</f>
        <v>5</v>
      </c>
      <c r="AE36" s="99">
        <f>IFERROR(__xludf.DUMMYFUNCTION("""COMPUTED_VALUE"""),4.75)</f>
        <v>4.75</v>
      </c>
      <c r="AF36" s="97">
        <f>IFERROR(__xludf.DUMMYFUNCTION("""COMPUTED_VALUE"""),8.0)</f>
        <v>8</v>
      </c>
      <c r="AG36" s="78">
        <f>IFERROR(__xludf.DUMMYFUNCTION("""COMPUTED_VALUE"""),9.25)</f>
        <v>9.25</v>
      </c>
      <c r="AH36" s="78">
        <f>IFERROR(__xludf.DUMMYFUNCTION("""COMPUTED_VALUE"""),9.5)</f>
        <v>9.5</v>
      </c>
      <c r="AI36" s="100">
        <f>IFERROR(__xludf.DUMMYFUNCTION("""COMPUTED_VALUE"""),7.0)</f>
        <v>7</v>
      </c>
      <c r="AJ36" s="101">
        <f>IFERROR(__xludf.DUMMYFUNCTION("""COMPUTED_VALUE"""),0.0)</f>
        <v>0</v>
      </c>
      <c r="AK36" s="78">
        <f>IFERROR(__xludf.DUMMYFUNCTION("""COMPUTED_VALUE"""),17.834)</f>
        <v>17.834</v>
      </c>
      <c r="AL36" s="78">
        <f>IFERROR(__xludf.DUMMYFUNCTION("""COMPUTED_VALUE"""),2.85)</f>
        <v>2.85</v>
      </c>
      <c r="AM36" s="98">
        <f>IFERROR(__xludf.DUMMYFUNCTION("""COMPUTED_VALUE"""),1.901)</f>
        <v>1.901</v>
      </c>
      <c r="AN36" s="93">
        <f>IFERROR(__xludf.DUMMYFUNCTION("""COMPUTED_VALUE"""),22.75)</f>
        <v>22.75</v>
      </c>
      <c r="AO36" s="1"/>
      <c r="AP36" s="1"/>
      <c r="AQ36" s="1"/>
      <c r="AR36" s="1"/>
      <c r="AS36" s="1"/>
      <c r="AT36" s="1"/>
      <c r="AU36" s="1"/>
      <c r="AV36" s="1"/>
      <c r="AW36" s="1"/>
      <c r="AX36" s="1">
        <f>IFERROR(__xludf.DUMMYFUNCTION("""COMPUTED_VALUE"""),2.0)</f>
        <v>2</v>
      </c>
    </row>
    <row r="37">
      <c r="A37" s="78">
        <f>IFERROR(__xludf.DUMMYFUNCTION("""COMPUTED_VALUE"""),29.0)</f>
        <v>29</v>
      </c>
      <c r="B37" s="78" t="str">
        <f>IFERROR(__xludf.DUMMYFUNCTION("""COMPUTED_VALUE"""),"1000058187")</f>
        <v>1000058187</v>
      </c>
      <c r="C37" s="79" t="str">
        <f>IFERROR(__xludf.DUMMYFUNCTION("""COMPUTED_VALUE"""),"Bornali Islam Labonna")</f>
        <v>Bornali Islam Labonna</v>
      </c>
      <c r="D37" s="80" t="str">
        <f>IFERROR(__xludf.DUMMYFUNCTION("""COMPUTED_VALUE"""),"bornali.islam.labonna@g.bracu.ac.bd")</f>
        <v>bornali.islam.labonna@g.bracu.ac.bd</v>
      </c>
      <c r="E37" s="94" t="b">
        <f>IFERROR(__xludf.DUMMYFUNCTION("""COMPUTED_VALUE"""),TRUE)</f>
        <v>1</v>
      </c>
      <c r="F37" s="95">
        <f>IFERROR(__xludf.DUMMYFUNCTION("""COMPUTED_VALUE"""),0.0)</f>
        <v>0</v>
      </c>
      <c r="G37" s="96" t="str">
        <f>IFERROR(__xludf.DUMMYFUNCTION("""COMPUTED_VALUE"""),"OKAY")</f>
        <v>OKAY</v>
      </c>
      <c r="H37" s="95">
        <f>IFERROR(__xludf.DUMMYFUNCTION("""COMPUTED_VALUE"""),1.0)</f>
        <v>1</v>
      </c>
      <c r="I37" s="78">
        <f>IFERROR(__xludf.DUMMYFUNCTION("""COMPUTED_VALUE"""),1.0)</f>
        <v>1</v>
      </c>
      <c r="J37" s="78">
        <f>IFERROR(__xludf.DUMMYFUNCTION("""COMPUTED_VALUE"""),1.0)</f>
        <v>1</v>
      </c>
      <c r="K37" s="78">
        <f>IFERROR(__xludf.DUMMYFUNCTION("""COMPUTED_VALUE"""),1.0)</f>
        <v>1</v>
      </c>
      <c r="L37" s="78">
        <f>IFERROR(__xludf.DUMMYFUNCTION("""COMPUTED_VALUE"""),1.0)</f>
        <v>1</v>
      </c>
      <c r="M37" s="78">
        <f>IFERROR(__xludf.DUMMYFUNCTION("""COMPUTED_VALUE"""),1.0)</f>
        <v>1</v>
      </c>
      <c r="N37" s="78">
        <f>IFERROR(__xludf.DUMMYFUNCTION("""COMPUTED_VALUE"""),1.0)</f>
        <v>1</v>
      </c>
      <c r="O37" s="96">
        <f>IFERROR(__xludf.DUMMYFUNCTION("""COMPUTED_VALUE"""),1.0)</f>
        <v>1</v>
      </c>
      <c r="P37" s="97"/>
      <c r="Q37" s="98">
        <f>IFERROR(__xludf.DUMMYFUNCTION("""COMPUTED_VALUE"""),4.5)</f>
        <v>4.5</v>
      </c>
      <c r="R37" s="78"/>
      <c r="S37" s="97"/>
      <c r="T37" s="78"/>
      <c r="U37" s="96">
        <f>IFERROR(__xludf.DUMMYFUNCTION("""COMPUTED_VALUE"""),4.0)</f>
        <v>4</v>
      </c>
      <c r="V37" s="97"/>
      <c r="W37" s="96"/>
      <c r="X37" s="97">
        <f>IFERROR(__xludf.DUMMYFUNCTION("""COMPUTED_VALUE"""),4.3)</f>
        <v>4.3</v>
      </c>
      <c r="Y37" s="78">
        <f>IFERROR(__xludf.DUMMYFUNCTION("""COMPUTED_VALUE"""),4.81)</f>
        <v>4.81</v>
      </c>
      <c r="Z37" s="78">
        <f>IFERROR(__xludf.DUMMYFUNCTION("""COMPUTED_VALUE"""),5.0)</f>
        <v>5</v>
      </c>
      <c r="AA37" s="78">
        <f>IFERROR(__xludf.DUMMYFUNCTION("""COMPUTED_VALUE"""),5.0)</f>
        <v>5</v>
      </c>
      <c r="AB37" s="98">
        <f>IFERROR(__xludf.DUMMYFUNCTION("""COMPUTED_VALUE"""),5.0)</f>
        <v>5</v>
      </c>
      <c r="AC37" s="98">
        <f>IFERROR(__xludf.DUMMYFUNCTION("""COMPUTED_VALUE"""),5.0)</f>
        <v>5</v>
      </c>
      <c r="AD37" s="78">
        <f>IFERROR(__xludf.DUMMYFUNCTION("""COMPUTED_VALUE"""),5.0)</f>
        <v>5</v>
      </c>
      <c r="AE37" s="99">
        <f>IFERROR(__xludf.DUMMYFUNCTION("""COMPUTED_VALUE"""),4.92)</f>
        <v>4.92</v>
      </c>
      <c r="AF37" s="97">
        <f>IFERROR(__xludf.DUMMYFUNCTION("""COMPUTED_VALUE"""),7.5)</f>
        <v>7.5</v>
      </c>
      <c r="AG37" s="78">
        <f>IFERROR(__xludf.DUMMYFUNCTION("""COMPUTED_VALUE"""),7.75)</f>
        <v>7.75</v>
      </c>
      <c r="AH37" s="78">
        <f>IFERROR(__xludf.DUMMYFUNCTION("""COMPUTED_VALUE"""),9.0)</f>
        <v>9</v>
      </c>
      <c r="AI37" s="100">
        <f>IFERROR(__xludf.DUMMYFUNCTION("""COMPUTED_VALUE"""),5.0)</f>
        <v>5</v>
      </c>
      <c r="AJ37" s="101">
        <f>IFERROR(__xludf.DUMMYFUNCTION("""COMPUTED_VALUE"""),0.0)</f>
        <v>0</v>
      </c>
      <c r="AK37" s="78">
        <f>IFERROR(__xludf.DUMMYFUNCTION("""COMPUTED_VALUE"""),16.167)</f>
        <v>16.167</v>
      </c>
      <c r="AL37" s="78">
        <f>IFERROR(__xludf.DUMMYFUNCTION("""COMPUTED_VALUE"""),2.55)</f>
        <v>2.55</v>
      </c>
      <c r="AM37" s="98">
        <f>IFERROR(__xludf.DUMMYFUNCTION("""COMPUTED_VALUE"""),1.952)</f>
        <v>1.952</v>
      </c>
      <c r="AN37" s="93">
        <f>IFERROR(__xludf.DUMMYFUNCTION("""COMPUTED_VALUE"""),20.75)</f>
        <v>20.75</v>
      </c>
      <c r="AO37" s="1"/>
      <c r="AP37" s="1"/>
      <c r="AQ37" s="1"/>
      <c r="AR37" s="1"/>
      <c r="AS37" s="1"/>
      <c r="AT37" s="1"/>
      <c r="AU37" s="1"/>
      <c r="AV37" s="1"/>
      <c r="AW37" s="1"/>
      <c r="AX37" s="1">
        <f>IFERROR(__xludf.DUMMYFUNCTION("""COMPUTED_VALUE"""),2.0)</f>
        <v>2</v>
      </c>
    </row>
    <row r="38">
      <c r="A38" s="78">
        <f>IFERROR(__xludf.DUMMYFUNCTION("""COMPUTED_VALUE"""),30.0)</f>
        <v>30</v>
      </c>
      <c r="B38" s="78" t="str">
        <f>IFERROR(__xludf.DUMMYFUNCTION("""COMPUTED_VALUE"""),"1000058792")</f>
        <v>1000058792</v>
      </c>
      <c r="C38" s="79" t="str">
        <f>IFERROR(__xludf.DUMMYFUNCTION("""COMPUTED_VALUE"""),"Tahia Hossain")</f>
        <v>Tahia Hossain</v>
      </c>
      <c r="D38" s="80" t="str">
        <f>IFERROR(__xludf.DUMMYFUNCTION("""COMPUTED_VALUE"""),"tahia.hossain2@g.bracu.ac.bd")</f>
        <v>tahia.hossain2@g.bracu.ac.bd</v>
      </c>
      <c r="E38" s="94" t="b">
        <f>IFERROR(__xludf.DUMMYFUNCTION("""COMPUTED_VALUE"""),TRUE)</f>
        <v>1</v>
      </c>
      <c r="F38" s="95">
        <f>IFERROR(__xludf.DUMMYFUNCTION("""COMPUTED_VALUE"""),0.0)</f>
        <v>0</v>
      </c>
      <c r="G38" s="96" t="str">
        <f>IFERROR(__xludf.DUMMYFUNCTION("""COMPUTED_VALUE"""),"OKAY")</f>
        <v>OKAY</v>
      </c>
      <c r="H38" s="95">
        <f>IFERROR(__xludf.DUMMYFUNCTION("""COMPUTED_VALUE"""),1.0)</f>
        <v>1</v>
      </c>
      <c r="I38" s="78">
        <f>IFERROR(__xludf.DUMMYFUNCTION("""COMPUTED_VALUE"""),1.0)</f>
        <v>1</v>
      </c>
      <c r="J38" s="78">
        <f>IFERROR(__xludf.DUMMYFUNCTION("""COMPUTED_VALUE"""),1.0)</f>
        <v>1</v>
      </c>
      <c r="K38" s="78">
        <f>IFERROR(__xludf.DUMMYFUNCTION("""COMPUTED_VALUE"""),1.0)</f>
        <v>1</v>
      </c>
      <c r="L38" s="78">
        <f>IFERROR(__xludf.DUMMYFUNCTION("""COMPUTED_VALUE"""),1.0)</f>
        <v>1</v>
      </c>
      <c r="M38" s="78">
        <f>IFERROR(__xludf.DUMMYFUNCTION("""COMPUTED_VALUE"""),1.0)</f>
        <v>1</v>
      </c>
      <c r="N38" s="78">
        <f>IFERROR(__xludf.DUMMYFUNCTION("""COMPUTED_VALUE"""),1.0)</f>
        <v>1</v>
      </c>
      <c r="O38" s="96">
        <f>IFERROR(__xludf.DUMMYFUNCTION("""COMPUTED_VALUE"""),1.0)</f>
        <v>1</v>
      </c>
      <c r="P38" s="97"/>
      <c r="Q38" s="98">
        <f>IFERROR(__xludf.DUMMYFUNCTION("""COMPUTED_VALUE"""),4.5)</f>
        <v>4.5</v>
      </c>
      <c r="R38" s="78"/>
      <c r="S38" s="97"/>
      <c r="T38" s="78"/>
      <c r="U38" s="96">
        <f>IFERROR(__xludf.DUMMYFUNCTION("""COMPUTED_VALUE"""),2.5)</f>
        <v>2.5</v>
      </c>
      <c r="V38" s="97"/>
      <c r="W38" s="96"/>
      <c r="X38" s="97">
        <f>IFERROR(__xludf.DUMMYFUNCTION("""COMPUTED_VALUE"""),4.7)</f>
        <v>4.7</v>
      </c>
      <c r="Y38" s="78">
        <f>IFERROR(__xludf.DUMMYFUNCTION("""COMPUTED_VALUE"""),5.0)</f>
        <v>5</v>
      </c>
      <c r="Z38" s="78">
        <f>IFERROR(__xludf.DUMMYFUNCTION("""COMPUTED_VALUE"""),4.17)</f>
        <v>4.17</v>
      </c>
      <c r="AA38" s="78">
        <f>IFERROR(__xludf.DUMMYFUNCTION("""COMPUTED_VALUE"""),5.0)</f>
        <v>5</v>
      </c>
      <c r="AB38" s="98">
        <f>IFERROR(__xludf.DUMMYFUNCTION("""COMPUTED_VALUE"""),4.29)</f>
        <v>4.29</v>
      </c>
      <c r="AC38" s="98">
        <f>IFERROR(__xludf.DUMMYFUNCTION("""COMPUTED_VALUE"""),4.83)</f>
        <v>4.83</v>
      </c>
      <c r="AD38" s="78">
        <f>IFERROR(__xludf.DUMMYFUNCTION("""COMPUTED_VALUE"""),5.0)</f>
        <v>5</v>
      </c>
      <c r="AE38" s="99">
        <f>IFERROR(__xludf.DUMMYFUNCTION("""COMPUTED_VALUE"""),4.83)</f>
        <v>4.83</v>
      </c>
      <c r="AF38" s="97">
        <f>IFERROR(__xludf.DUMMYFUNCTION("""COMPUTED_VALUE"""),9.0)</f>
        <v>9</v>
      </c>
      <c r="AG38" s="78">
        <f>IFERROR(__xludf.DUMMYFUNCTION("""COMPUTED_VALUE"""),8.25)</f>
        <v>8.25</v>
      </c>
      <c r="AH38" s="78">
        <f>IFERROR(__xludf.DUMMYFUNCTION("""COMPUTED_VALUE"""),6.5)</f>
        <v>6.5</v>
      </c>
      <c r="AI38" s="100">
        <f>IFERROR(__xludf.DUMMYFUNCTION("""COMPUTED_VALUE"""),3.0)</f>
        <v>3</v>
      </c>
      <c r="AJ38" s="101">
        <f>IFERROR(__xludf.DUMMYFUNCTION("""COMPUTED_VALUE"""),0.0)</f>
        <v>0</v>
      </c>
      <c r="AK38" s="78">
        <f>IFERROR(__xludf.DUMMYFUNCTION("""COMPUTED_VALUE"""),15.834)</f>
        <v>15.834</v>
      </c>
      <c r="AL38" s="78">
        <f>IFERROR(__xludf.DUMMYFUNCTION("""COMPUTED_VALUE"""),2.1)</f>
        <v>2.1</v>
      </c>
      <c r="AM38" s="98">
        <f>IFERROR(__xludf.DUMMYFUNCTION("""COMPUTED_VALUE"""),1.891)</f>
        <v>1.891</v>
      </c>
      <c r="AN38" s="93">
        <f>IFERROR(__xludf.DUMMYFUNCTION("""COMPUTED_VALUE"""),20.0)</f>
        <v>20</v>
      </c>
      <c r="AO38" s="1"/>
      <c r="AP38" s="1"/>
      <c r="AQ38" s="1"/>
      <c r="AR38" s="1"/>
      <c r="AS38" s="1"/>
      <c r="AT38" s="1"/>
      <c r="AU38" s="1"/>
      <c r="AV38" s="1"/>
      <c r="AW38" s="1"/>
      <c r="AX38" s="1">
        <f>IFERROR(__xludf.DUMMYFUNCTION("""COMPUTED_VALUE"""),2.0)</f>
        <v>2</v>
      </c>
    </row>
    <row r="39">
      <c r="A39" s="78">
        <f>IFERROR(__xludf.DUMMYFUNCTION("""COMPUTED_VALUE"""),31.0)</f>
        <v>31</v>
      </c>
      <c r="B39" s="78" t="str">
        <f>IFERROR(__xludf.DUMMYFUNCTION("""COMPUTED_VALUE"""),"24121331")</f>
        <v>24121331</v>
      </c>
      <c r="C39" s="79" t="str">
        <f>IFERROR(__xludf.DUMMYFUNCTION("""COMPUTED_VALUE"""),"Nafisa Rahman Fewri")</f>
        <v>Nafisa Rahman Fewri</v>
      </c>
      <c r="D39" s="80" t="str">
        <f>IFERROR(__xludf.DUMMYFUNCTION("""COMPUTED_VALUE"""),"nafisa.rahman.fewri@g.bracu.ac.bd")</f>
        <v>nafisa.rahman.fewri@g.bracu.ac.bd</v>
      </c>
      <c r="E39" s="94" t="b">
        <f>IFERROR(__xludf.DUMMYFUNCTION("""COMPUTED_VALUE"""),TRUE)</f>
        <v>1</v>
      </c>
      <c r="F39" s="95">
        <f>IFERROR(__xludf.DUMMYFUNCTION("""COMPUTED_VALUE"""),1.0)</f>
        <v>1</v>
      </c>
      <c r="G39" s="96" t="str">
        <f>IFERROR(__xludf.DUMMYFUNCTION("""COMPUTED_VALUE"""),"WARNING")</f>
        <v>WARNING</v>
      </c>
      <c r="H39" s="95">
        <f>IFERROR(__xludf.DUMMYFUNCTION("""COMPUTED_VALUE"""),1.0)</f>
        <v>1</v>
      </c>
      <c r="I39" s="78">
        <f>IFERROR(__xludf.DUMMYFUNCTION("""COMPUTED_VALUE"""),1.0)</f>
        <v>1</v>
      </c>
      <c r="J39" s="78">
        <f>IFERROR(__xludf.DUMMYFUNCTION("""COMPUTED_VALUE"""),0.0)</f>
        <v>0</v>
      </c>
      <c r="K39" s="78">
        <f>IFERROR(__xludf.DUMMYFUNCTION("""COMPUTED_VALUE"""),1.0)</f>
        <v>1</v>
      </c>
      <c r="L39" s="78">
        <f>IFERROR(__xludf.DUMMYFUNCTION("""COMPUTED_VALUE"""),1.0)</f>
        <v>1</v>
      </c>
      <c r="M39" s="78">
        <f>IFERROR(__xludf.DUMMYFUNCTION("""COMPUTED_VALUE"""),1.0)</f>
        <v>1</v>
      </c>
      <c r="N39" s="78">
        <f>IFERROR(__xludf.DUMMYFUNCTION("""COMPUTED_VALUE"""),1.0)</f>
        <v>1</v>
      </c>
      <c r="O39" s="96">
        <f>IFERROR(__xludf.DUMMYFUNCTION("""COMPUTED_VALUE"""),1.0)</f>
        <v>1</v>
      </c>
      <c r="P39" s="97"/>
      <c r="Q39" s="98">
        <f>IFERROR(__xludf.DUMMYFUNCTION("""COMPUTED_VALUE"""),4.5)</f>
        <v>4.5</v>
      </c>
      <c r="R39" s="78"/>
      <c r="S39" s="97"/>
      <c r="T39" s="78"/>
      <c r="U39" s="96">
        <f>IFERROR(__xludf.DUMMYFUNCTION("""COMPUTED_VALUE"""),1.0)</f>
        <v>1</v>
      </c>
      <c r="V39" s="97"/>
      <c r="W39" s="96"/>
      <c r="X39" s="97">
        <f>IFERROR(__xludf.DUMMYFUNCTION("""COMPUTED_VALUE"""),0.0)</f>
        <v>0</v>
      </c>
      <c r="Y39" s="78">
        <f>IFERROR(__xludf.DUMMYFUNCTION("""COMPUTED_VALUE"""),0.0)</f>
        <v>0</v>
      </c>
      <c r="Z39" s="78">
        <f>IFERROR(__xludf.DUMMYFUNCTION("""COMPUTED_VALUE"""),0.0)</f>
        <v>0</v>
      </c>
      <c r="AA39" s="78">
        <f>IFERROR(__xludf.DUMMYFUNCTION("""COMPUTED_VALUE"""),0.0)</f>
        <v>0</v>
      </c>
      <c r="AB39" s="98"/>
      <c r="AC39" s="98">
        <f>IFERROR(__xludf.DUMMYFUNCTION("""COMPUTED_VALUE"""),0.0)</f>
        <v>0</v>
      </c>
      <c r="AD39" s="78">
        <f>IFERROR(__xludf.DUMMYFUNCTION("""COMPUTED_VALUE"""),0.0)</f>
        <v>0</v>
      </c>
      <c r="AE39" s="99"/>
      <c r="AF39" s="97"/>
      <c r="AG39" s="78">
        <f>IFERROR(__xludf.DUMMYFUNCTION("""COMPUTED_VALUE"""),4.0)</f>
        <v>4</v>
      </c>
      <c r="AH39" s="78">
        <f>IFERROR(__xludf.DUMMYFUNCTION("""COMPUTED_VALUE"""),4.0)</f>
        <v>4</v>
      </c>
      <c r="AI39" s="100">
        <f>IFERROR(__xludf.DUMMYFUNCTION("""COMPUTED_VALUE"""),2.0)</f>
        <v>2</v>
      </c>
      <c r="AJ39" s="101">
        <f>IFERROR(__xludf.DUMMYFUNCTION("""COMPUTED_VALUE"""),0.0)</f>
        <v>0</v>
      </c>
      <c r="AK39" s="78">
        <f>IFERROR(__xludf.DUMMYFUNCTION("""COMPUTED_VALUE"""),6.667)</f>
        <v>6.667</v>
      </c>
      <c r="AL39" s="78">
        <f>IFERROR(__xludf.DUMMYFUNCTION("""COMPUTED_VALUE"""),1.65)</f>
        <v>1.65</v>
      </c>
      <c r="AM39" s="98">
        <f>IFERROR(__xludf.DUMMYFUNCTION("""COMPUTED_VALUE"""),0.0)</f>
        <v>0</v>
      </c>
      <c r="AN39" s="93">
        <f>IFERROR(__xludf.DUMMYFUNCTION("""COMPUTED_VALUE"""),8.5)</f>
        <v>8.5</v>
      </c>
      <c r="AO39" s="1"/>
      <c r="AP39" s="1"/>
      <c r="AQ39" s="1"/>
      <c r="AR39" s="1"/>
      <c r="AS39" s="1"/>
      <c r="AT39" s="1"/>
      <c r="AU39" s="1"/>
      <c r="AV39" s="1"/>
      <c r="AW39" s="1"/>
      <c r="AX39" s="1">
        <f>IFERROR(__xludf.DUMMYFUNCTION("""COMPUTED_VALUE"""),2.0)</f>
        <v>2</v>
      </c>
    </row>
    <row r="40">
      <c r="A40" s="78">
        <f>IFERROR(__xludf.DUMMYFUNCTION("""COMPUTED_VALUE"""),32.0)</f>
        <v>32</v>
      </c>
      <c r="B40" s="78" t="str">
        <f>IFERROR(__xludf.DUMMYFUNCTION("""COMPUTED_VALUE"""),"24201321")</f>
        <v>24201321</v>
      </c>
      <c r="C40" s="79" t="str">
        <f>IFERROR(__xludf.DUMMYFUNCTION("""COMPUTED_VALUE"""),"S M Saiham Soad Khan")</f>
        <v>S M Saiham Soad Khan</v>
      </c>
      <c r="D40" s="80" t="str">
        <f>IFERROR(__xludf.DUMMYFUNCTION("""COMPUTED_VALUE"""),"saiham.soad.khan@g.bracu.ac.bd")</f>
        <v>saiham.soad.khan@g.bracu.ac.bd</v>
      </c>
      <c r="E40" s="94" t="b">
        <f>IFERROR(__xludf.DUMMYFUNCTION("""COMPUTED_VALUE"""),TRUE)</f>
        <v>1</v>
      </c>
      <c r="F40" s="95">
        <f>IFERROR(__xludf.DUMMYFUNCTION("""COMPUTED_VALUE"""),0.0)</f>
        <v>0</v>
      </c>
      <c r="G40" s="96" t="str">
        <f>IFERROR(__xludf.DUMMYFUNCTION("""COMPUTED_VALUE"""),"OKAY")</f>
        <v>OKAY</v>
      </c>
      <c r="H40" s="95">
        <f>IFERROR(__xludf.DUMMYFUNCTION("""COMPUTED_VALUE"""),1.0)</f>
        <v>1</v>
      </c>
      <c r="I40" s="78">
        <f>IFERROR(__xludf.DUMMYFUNCTION("""COMPUTED_VALUE"""),1.0)</f>
        <v>1</v>
      </c>
      <c r="J40" s="78">
        <f>IFERROR(__xludf.DUMMYFUNCTION("""COMPUTED_VALUE"""),1.0)</f>
        <v>1</v>
      </c>
      <c r="K40" s="78">
        <f>IFERROR(__xludf.DUMMYFUNCTION("""COMPUTED_VALUE"""),1.0)</f>
        <v>1</v>
      </c>
      <c r="L40" s="78">
        <f>IFERROR(__xludf.DUMMYFUNCTION("""COMPUTED_VALUE"""),1.0)</f>
        <v>1</v>
      </c>
      <c r="M40" s="78">
        <f>IFERROR(__xludf.DUMMYFUNCTION("""COMPUTED_VALUE"""),1.0)</f>
        <v>1</v>
      </c>
      <c r="N40" s="78">
        <f>IFERROR(__xludf.DUMMYFUNCTION("""COMPUTED_VALUE"""),1.0)</f>
        <v>1</v>
      </c>
      <c r="O40" s="96">
        <f>IFERROR(__xludf.DUMMYFUNCTION("""COMPUTED_VALUE"""),1.0)</f>
        <v>1</v>
      </c>
      <c r="P40" s="97"/>
      <c r="Q40" s="98">
        <f>IFERROR(__xludf.DUMMYFUNCTION("""COMPUTED_VALUE"""),5.0)</f>
        <v>5</v>
      </c>
      <c r="R40" s="78"/>
      <c r="S40" s="97"/>
      <c r="T40" s="78"/>
      <c r="U40" s="96">
        <f>IFERROR(__xludf.DUMMYFUNCTION("""COMPUTED_VALUE"""),0.0)</f>
        <v>0</v>
      </c>
      <c r="V40" s="97"/>
      <c r="W40" s="96"/>
      <c r="X40" s="97">
        <f>IFERROR(__xludf.DUMMYFUNCTION("""COMPUTED_VALUE"""),0.75)</f>
        <v>0.75</v>
      </c>
      <c r="Y40" s="78">
        <f>IFERROR(__xludf.DUMMYFUNCTION("""COMPUTED_VALUE"""),1.245)</f>
        <v>1.245</v>
      </c>
      <c r="Z40" s="78">
        <f>IFERROR(__xludf.DUMMYFUNCTION("""COMPUTED_VALUE"""),0.0)</f>
        <v>0</v>
      </c>
      <c r="AA40" s="78">
        <f>IFERROR(__xludf.DUMMYFUNCTION("""COMPUTED_VALUE"""),0.0)</f>
        <v>0</v>
      </c>
      <c r="AB40" s="98"/>
      <c r="AC40" s="98">
        <f>IFERROR(__xludf.DUMMYFUNCTION("""COMPUTED_VALUE"""),0.83)</f>
        <v>0.83</v>
      </c>
      <c r="AD40" s="78">
        <f>IFERROR(__xludf.DUMMYFUNCTION("""COMPUTED_VALUE"""),0.83)</f>
        <v>0.83</v>
      </c>
      <c r="AE40" s="99">
        <f>IFERROR(__xludf.DUMMYFUNCTION("""COMPUTED_VALUE"""),1.7)</f>
        <v>1.7</v>
      </c>
      <c r="AF40" s="97">
        <f>IFERROR(__xludf.DUMMYFUNCTION("""COMPUTED_VALUE"""),9.0)</f>
        <v>9</v>
      </c>
      <c r="AG40" s="78">
        <f>IFERROR(__xludf.DUMMYFUNCTION("""COMPUTED_VALUE"""),9.0)</f>
        <v>9</v>
      </c>
      <c r="AH40" s="78">
        <f>IFERROR(__xludf.DUMMYFUNCTION("""COMPUTED_VALUE"""),6.5)</f>
        <v>6.5</v>
      </c>
      <c r="AI40" s="100">
        <f>IFERROR(__xludf.DUMMYFUNCTION("""COMPUTED_VALUE"""),6.0)</f>
        <v>6</v>
      </c>
      <c r="AJ40" s="101">
        <f>IFERROR(__xludf.DUMMYFUNCTION("""COMPUTED_VALUE"""),0.0)</f>
        <v>0</v>
      </c>
      <c r="AK40" s="78">
        <f>IFERROR(__xludf.DUMMYFUNCTION("""COMPUTED_VALUE"""),16.334)</f>
        <v>16.334</v>
      </c>
      <c r="AL40" s="78">
        <f>IFERROR(__xludf.DUMMYFUNCTION("""COMPUTED_VALUE"""),1.5)</f>
        <v>1.5</v>
      </c>
      <c r="AM40" s="98">
        <f>IFERROR(__xludf.DUMMYFUNCTION("""COMPUTED_VALUE"""),0.268)</f>
        <v>0.268</v>
      </c>
      <c r="AN40" s="93">
        <f>IFERROR(__xludf.DUMMYFUNCTION("""COMPUTED_VALUE"""),18.25)</f>
        <v>18.25</v>
      </c>
      <c r="AO40" s="1"/>
      <c r="AP40" s="1"/>
      <c r="AQ40" s="1"/>
      <c r="AR40" s="1"/>
      <c r="AS40" s="1"/>
      <c r="AT40" s="1"/>
      <c r="AU40" s="1"/>
      <c r="AV40" s="1"/>
      <c r="AW40" s="1"/>
      <c r="AX40" s="1">
        <f>IFERROR(__xludf.DUMMYFUNCTION("""COMPUTED_VALUE"""),2.0)</f>
        <v>2</v>
      </c>
    </row>
    <row r="41">
      <c r="A41" s="78">
        <f>IFERROR(__xludf.DUMMYFUNCTION("""COMPUTED_VALUE"""),33.0)</f>
        <v>33</v>
      </c>
      <c r="B41" s="78" t="str">
        <f>IFERROR(__xludf.DUMMYFUNCTION("""COMPUTED_VALUE"""),"24201355")</f>
        <v>24201355</v>
      </c>
      <c r="C41" s="79" t="str">
        <f>IFERROR(__xludf.DUMMYFUNCTION("""COMPUTED_VALUE"""),"Jannat Ara Jahan")</f>
        <v>Jannat Ara Jahan</v>
      </c>
      <c r="D41" s="80" t="str">
        <f>IFERROR(__xludf.DUMMYFUNCTION("""COMPUTED_VALUE"""),"jannat.ara.jahan@g.bracu.ac.bd")</f>
        <v>jannat.ara.jahan@g.bracu.ac.bd</v>
      </c>
      <c r="E41" s="94" t="b">
        <f>IFERROR(__xludf.DUMMYFUNCTION("""COMPUTED_VALUE"""),TRUE)</f>
        <v>1</v>
      </c>
      <c r="F41" s="95">
        <f>IFERROR(__xludf.DUMMYFUNCTION("""COMPUTED_VALUE"""),3.0)</f>
        <v>3</v>
      </c>
      <c r="G41" s="96" t="str">
        <f>IFERROR(__xludf.DUMMYFUNCTION("""COMPUTED_VALUE"""),"BARRED")</f>
        <v>BARRED</v>
      </c>
      <c r="H41" s="95">
        <f>IFERROR(__xludf.DUMMYFUNCTION("""COMPUTED_VALUE"""),1.0)</f>
        <v>1</v>
      </c>
      <c r="I41" s="78">
        <f>IFERROR(__xludf.DUMMYFUNCTION("""COMPUTED_VALUE"""),1.0)</f>
        <v>1</v>
      </c>
      <c r="J41" s="78">
        <f>IFERROR(__xludf.DUMMYFUNCTION("""COMPUTED_VALUE"""),1.0)</f>
        <v>1</v>
      </c>
      <c r="K41" s="78">
        <f>IFERROR(__xludf.DUMMYFUNCTION("""COMPUTED_VALUE"""),1.0)</f>
        <v>1</v>
      </c>
      <c r="L41" s="78">
        <f>IFERROR(__xludf.DUMMYFUNCTION("""COMPUTED_VALUE"""),0.0)</f>
        <v>0</v>
      </c>
      <c r="M41" s="78">
        <f>IFERROR(__xludf.DUMMYFUNCTION("""COMPUTED_VALUE"""),1.0)</f>
        <v>1</v>
      </c>
      <c r="N41" s="78">
        <f>IFERROR(__xludf.DUMMYFUNCTION("""COMPUTED_VALUE"""),0.0)</f>
        <v>0</v>
      </c>
      <c r="O41" s="96">
        <f>IFERROR(__xludf.DUMMYFUNCTION("""COMPUTED_VALUE"""),0.0)</f>
        <v>0</v>
      </c>
      <c r="P41" s="97"/>
      <c r="Q41" s="98">
        <f>IFERROR(__xludf.DUMMYFUNCTION("""COMPUTED_VALUE"""),5.0)</f>
        <v>5</v>
      </c>
      <c r="R41" s="78"/>
      <c r="S41" s="97"/>
      <c r="T41" s="78"/>
      <c r="U41" s="96">
        <f>IFERROR(__xludf.DUMMYFUNCTION("""COMPUTED_VALUE"""),1.0)</f>
        <v>1</v>
      </c>
      <c r="V41" s="97"/>
      <c r="W41" s="96"/>
      <c r="X41" s="97">
        <f>IFERROR(__xludf.DUMMYFUNCTION("""COMPUTED_VALUE"""),5.0)</f>
        <v>5</v>
      </c>
      <c r="Y41" s="78">
        <f>IFERROR(__xludf.DUMMYFUNCTION("""COMPUTED_VALUE"""),5.0)</f>
        <v>5</v>
      </c>
      <c r="Z41" s="78">
        <f>IFERROR(__xludf.DUMMYFUNCTION("""COMPUTED_VALUE"""),5.0)</f>
        <v>5</v>
      </c>
      <c r="AA41" s="78">
        <f>IFERROR(__xludf.DUMMYFUNCTION("""COMPUTED_VALUE"""),0.0)</f>
        <v>0</v>
      </c>
      <c r="AB41" s="98"/>
      <c r="AC41" s="98">
        <f>IFERROR(__xludf.DUMMYFUNCTION("""COMPUTED_VALUE"""),0.0)</f>
        <v>0</v>
      </c>
      <c r="AD41" s="78">
        <f>IFERROR(__xludf.DUMMYFUNCTION("""COMPUTED_VALUE"""),0.0)</f>
        <v>0</v>
      </c>
      <c r="AE41" s="99"/>
      <c r="AF41" s="97">
        <f>IFERROR(__xludf.DUMMYFUNCTION("""COMPUTED_VALUE"""),8.5)</f>
        <v>8.5</v>
      </c>
      <c r="AG41" s="78">
        <f>IFERROR(__xludf.DUMMYFUNCTION("""COMPUTED_VALUE"""),5.5)</f>
        <v>5.5</v>
      </c>
      <c r="AH41" s="78"/>
      <c r="AI41" s="100"/>
      <c r="AJ41" s="101">
        <f>IFERROR(__xludf.DUMMYFUNCTION("""COMPUTED_VALUE"""),0.0)</f>
        <v>0</v>
      </c>
      <c r="AK41" s="78">
        <f>IFERROR(__xludf.DUMMYFUNCTION("""COMPUTED_VALUE"""),9.334)</f>
        <v>9.334</v>
      </c>
      <c r="AL41" s="78">
        <f>IFERROR(__xludf.DUMMYFUNCTION("""COMPUTED_VALUE"""),1.8)</f>
        <v>1.8</v>
      </c>
      <c r="AM41" s="98">
        <f>IFERROR(__xludf.DUMMYFUNCTION("""COMPUTED_VALUE"""),0.75)</f>
        <v>0.75</v>
      </c>
      <c r="AN41" s="98">
        <f>IFERROR(__xludf.DUMMYFUNCTION("""COMPUTED_VALUE"""),0.0)</f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>
        <f>IFERROR(__xludf.DUMMYFUNCTION("""COMPUTED_VALUE"""),2.0)</f>
        <v>2</v>
      </c>
    </row>
    <row r="42">
      <c r="A42" s="78">
        <f>IFERROR(__xludf.DUMMYFUNCTION("""COMPUTED_VALUE"""),34.0)</f>
        <v>34</v>
      </c>
      <c r="B42" s="78" t="str">
        <f>IFERROR(__xludf.DUMMYFUNCTION("""COMPUTED_VALUE"""),"24201415")</f>
        <v>24201415</v>
      </c>
      <c r="C42" s="79" t="str">
        <f>IFERROR(__xludf.DUMMYFUNCTION("""COMPUTED_VALUE"""),"Zareen Sadaf")</f>
        <v>Zareen Sadaf</v>
      </c>
      <c r="D42" s="80" t="str">
        <f>IFERROR(__xludf.DUMMYFUNCTION("""COMPUTED_VALUE"""),"zareen.sadaf@g.bracu.ac.bd")</f>
        <v>zareen.sadaf@g.bracu.ac.bd</v>
      </c>
      <c r="E42" s="94" t="b">
        <f>IFERROR(__xludf.DUMMYFUNCTION("""COMPUTED_VALUE"""),TRUE)</f>
        <v>1</v>
      </c>
      <c r="F42" s="95">
        <f>IFERROR(__xludf.DUMMYFUNCTION("""COMPUTED_VALUE"""),0.0)</f>
        <v>0</v>
      </c>
      <c r="G42" s="96" t="str">
        <f>IFERROR(__xludf.DUMMYFUNCTION("""COMPUTED_VALUE"""),"OKAY")</f>
        <v>OKAY</v>
      </c>
      <c r="H42" s="95">
        <f>IFERROR(__xludf.DUMMYFUNCTION("""COMPUTED_VALUE"""),1.0)</f>
        <v>1</v>
      </c>
      <c r="I42" s="78">
        <f>IFERROR(__xludf.DUMMYFUNCTION("""COMPUTED_VALUE"""),1.0)</f>
        <v>1</v>
      </c>
      <c r="J42" s="78">
        <f>IFERROR(__xludf.DUMMYFUNCTION("""COMPUTED_VALUE"""),1.0)</f>
        <v>1</v>
      </c>
      <c r="K42" s="78">
        <f>IFERROR(__xludf.DUMMYFUNCTION("""COMPUTED_VALUE"""),1.0)</f>
        <v>1</v>
      </c>
      <c r="L42" s="78">
        <f>IFERROR(__xludf.DUMMYFUNCTION("""COMPUTED_VALUE"""),1.0)</f>
        <v>1</v>
      </c>
      <c r="M42" s="78">
        <f>IFERROR(__xludf.DUMMYFUNCTION("""COMPUTED_VALUE"""),1.0)</f>
        <v>1</v>
      </c>
      <c r="N42" s="78">
        <f>IFERROR(__xludf.DUMMYFUNCTION("""COMPUTED_VALUE"""),1.0)</f>
        <v>1</v>
      </c>
      <c r="O42" s="96">
        <f>IFERROR(__xludf.DUMMYFUNCTION("""COMPUTED_VALUE"""),1.0)</f>
        <v>1</v>
      </c>
      <c r="P42" s="97"/>
      <c r="Q42" s="98">
        <f>IFERROR(__xludf.DUMMYFUNCTION("""COMPUTED_VALUE"""),5.0)</f>
        <v>5</v>
      </c>
      <c r="R42" s="78"/>
      <c r="S42" s="97"/>
      <c r="T42" s="78"/>
      <c r="U42" s="96">
        <f>IFERROR(__xludf.DUMMYFUNCTION("""COMPUTED_VALUE"""),0.0)</f>
        <v>0</v>
      </c>
      <c r="V42" s="97"/>
      <c r="W42" s="96"/>
      <c r="X42" s="97">
        <f>IFERROR(__xludf.DUMMYFUNCTION("""COMPUTED_VALUE"""),4.0)</f>
        <v>4</v>
      </c>
      <c r="Y42" s="78">
        <f>IFERROR(__xludf.DUMMYFUNCTION("""COMPUTED_VALUE"""),4.16)</f>
        <v>4.16</v>
      </c>
      <c r="Z42" s="78">
        <f>IFERROR(__xludf.DUMMYFUNCTION("""COMPUTED_VALUE"""),0.0)</f>
        <v>0</v>
      </c>
      <c r="AA42" s="78">
        <f>IFERROR(__xludf.DUMMYFUNCTION("""COMPUTED_VALUE"""),0.0)</f>
        <v>0</v>
      </c>
      <c r="AB42" s="98">
        <f>IFERROR(__xludf.DUMMYFUNCTION("""COMPUTED_VALUE"""),1.428)</f>
        <v>1.428</v>
      </c>
      <c r="AC42" s="98">
        <f>IFERROR(__xludf.DUMMYFUNCTION("""COMPUTED_VALUE"""),3.33)</f>
        <v>3.33</v>
      </c>
      <c r="AD42" s="78">
        <f>IFERROR(__xludf.DUMMYFUNCTION("""COMPUTED_VALUE"""),0.0)</f>
        <v>0</v>
      </c>
      <c r="AE42" s="99"/>
      <c r="AF42" s="97">
        <f>IFERROR(__xludf.DUMMYFUNCTION("""COMPUTED_VALUE"""),7.5)</f>
        <v>7.5</v>
      </c>
      <c r="AG42" s="78">
        <f>IFERROR(__xludf.DUMMYFUNCTION("""COMPUTED_VALUE"""),6.0)</f>
        <v>6</v>
      </c>
      <c r="AH42" s="78">
        <f>IFERROR(__xludf.DUMMYFUNCTION("""COMPUTED_VALUE"""),8.5)</f>
        <v>8.5</v>
      </c>
      <c r="AI42" s="100">
        <f>IFERROR(__xludf.DUMMYFUNCTION("""COMPUTED_VALUE"""),3.0)</f>
        <v>3</v>
      </c>
      <c r="AJ42" s="101">
        <f>IFERROR(__xludf.DUMMYFUNCTION("""COMPUTED_VALUE"""),0.0)</f>
        <v>0</v>
      </c>
      <c r="AK42" s="78">
        <f>IFERROR(__xludf.DUMMYFUNCTION("""COMPUTED_VALUE"""),14.667)</f>
        <v>14.667</v>
      </c>
      <c r="AL42" s="78">
        <f>IFERROR(__xludf.DUMMYFUNCTION("""COMPUTED_VALUE"""),1.5)</f>
        <v>1.5</v>
      </c>
      <c r="AM42" s="98">
        <f>IFERROR(__xludf.DUMMYFUNCTION("""COMPUTED_VALUE"""),0.646)</f>
        <v>0.646</v>
      </c>
      <c r="AN42" s="93">
        <f>IFERROR(__xludf.DUMMYFUNCTION("""COMPUTED_VALUE"""),17.0)</f>
        <v>17</v>
      </c>
      <c r="AO42" s="1"/>
      <c r="AP42" s="1"/>
      <c r="AQ42" s="1"/>
      <c r="AR42" s="1"/>
      <c r="AS42" s="1"/>
      <c r="AT42" s="1"/>
      <c r="AU42" s="1"/>
      <c r="AV42" s="1"/>
      <c r="AW42" s="1"/>
      <c r="AX42" s="1">
        <f>IFERROR(__xludf.DUMMYFUNCTION("""COMPUTED_VALUE"""),2.0)</f>
        <v>2</v>
      </c>
    </row>
    <row r="43">
      <c r="A43" s="78">
        <f>IFERROR(__xludf.DUMMYFUNCTION("""COMPUTED_VALUE"""),35.0)</f>
        <v>35</v>
      </c>
      <c r="B43" s="78" t="str">
        <f>IFERROR(__xludf.DUMMYFUNCTION("""COMPUTED_VALUE"""),"24301317")</f>
        <v>24301317</v>
      </c>
      <c r="C43" s="79" t="str">
        <f>IFERROR(__xludf.DUMMYFUNCTION("""COMPUTED_VALUE"""),"Ashmita Deb Nath")</f>
        <v>Ashmita Deb Nath</v>
      </c>
      <c r="D43" s="80" t="str">
        <f>IFERROR(__xludf.DUMMYFUNCTION("""COMPUTED_VALUE"""),"ashmita.deb.nath@g.bracu.ac.bd")</f>
        <v>ashmita.deb.nath@g.bracu.ac.bd</v>
      </c>
      <c r="E43" s="94" t="b">
        <f>IFERROR(__xludf.DUMMYFUNCTION("""COMPUTED_VALUE"""),TRUE)</f>
        <v>1</v>
      </c>
      <c r="F43" s="95">
        <f>IFERROR(__xludf.DUMMYFUNCTION("""COMPUTED_VALUE"""),0.0)</f>
        <v>0</v>
      </c>
      <c r="G43" s="96" t="str">
        <f>IFERROR(__xludf.DUMMYFUNCTION("""COMPUTED_VALUE"""),"OKAY")</f>
        <v>OKAY</v>
      </c>
      <c r="H43" s="95">
        <f>IFERROR(__xludf.DUMMYFUNCTION("""COMPUTED_VALUE"""),1.0)</f>
        <v>1</v>
      </c>
      <c r="I43" s="78">
        <f>IFERROR(__xludf.DUMMYFUNCTION("""COMPUTED_VALUE"""),1.0)</f>
        <v>1</v>
      </c>
      <c r="J43" s="78">
        <f>IFERROR(__xludf.DUMMYFUNCTION("""COMPUTED_VALUE"""),1.0)</f>
        <v>1</v>
      </c>
      <c r="K43" s="78">
        <f>IFERROR(__xludf.DUMMYFUNCTION("""COMPUTED_VALUE"""),1.0)</f>
        <v>1</v>
      </c>
      <c r="L43" s="78">
        <f>IFERROR(__xludf.DUMMYFUNCTION("""COMPUTED_VALUE"""),1.0)</f>
        <v>1</v>
      </c>
      <c r="M43" s="78">
        <f>IFERROR(__xludf.DUMMYFUNCTION("""COMPUTED_VALUE"""),1.0)</f>
        <v>1</v>
      </c>
      <c r="N43" s="78">
        <f>IFERROR(__xludf.DUMMYFUNCTION("""COMPUTED_VALUE"""),1.0)</f>
        <v>1</v>
      </c>
      <c r="O43" s="96">
        <f>IFERROR(__xludf.DUMMYFUNCTION("""COMPUTED_VALUE"""),1.0)</f>
        <v>1</v>
      </c>
      <c r="P43" s="97"/>
      <c r="Q43" s="98">
        <f>IFERROR(__xludf.DUMMYFUNCTION("""COMPUTED_VALUE"""),5.0)</f>
        <v>5</v>
      </c>
      <c r="R43" s="78"/>
      <c r="S43" s="97"/>
      <c r="T43" s="78"/>
      <c r="U43" s="96">
        <f>IFERROR(__xludf.DUMMYFUNCTION("""COMPUTED_VALUE"""),3.0)</f>
        <v>3</v>
      </c>
      <c r="V43" s="97"/>
      <c r="W43" s="96"/>
      <c r="X43" s="97">
        <f>IFERROR(__xludf.DUMMYFUNCTION("""COMPUTED_VALUE"""),4.6)</f>
        <v>4.6</v>
      </c>
      <c r="Y43" s="78">
        <f>IFERROR(__xludf.DUMMYFUNCTION("""COMPUTED_VALUE"""),3.33)</f>
        <v>3.33</v>
      </c>
      <c r="Z43" s="78">
        <f>IFERROR(__xludf.DUMMYFUNCTION("""COMPUTED_VALUE"""),3.33)</f>
        <v>3.33</v>
      </c>
      <c r="AA43" s="78">
        <f>IFERROR(__xludf.DUMMYFUNCTION("""COMPUTED_VALUE"""),3.33)</f>
        <v>3.33</v>
      </c>
      <c r="AB43" s="98">
        <f>IFERROR(__xludf.DUMMYFUNCTION("""COMPUTED_VALUE"""),3.57)</f>
        <v>3.57</v>
      </c>
      <c r="AC43" s="98">
        <f>IFERROR(__xludf.DUMMYFUNCTION("""COMPUTED_VALUE"""),4.17)</f>
        <v>4.17</v>
      </c>
      <c r="AD43" s="78">
        <f>IFERROR(__xludf.DUMMYFUNCTION("""COMPUTED_VALUE"""),4.17)</f>
        <v>4.17</v>
      </c>
      <c r="AE43" s="99">
        <f>IFERROR(__xludf.DUMMYFUNCTION("""COMPUTED_VALUE"""),4.92)</f>
        <v>4.92</v>
      </c>
      <c r="AF43" s="97">
        <f>IFERROR(__xludf.DUMMYFUNCTION("""COMPUTED_VALUE"""),8.5)</f>
        <v>8.5</v>
      </c>
      <c r="AG43" s="78">
        <f>IFERROR(__xludf.DUMMYFUNCTION("""COMPUTED_VALUE"""),7.0)</f>
        <v>7</v>
      </c>
      <c r="AH43" s="78">
        <f>IFERROR(__xludf.DUMMYFUNCTION("""COMPUTED_VALUE"""),8.5)</f>
        <v>8.5</v>
      </c>
      <c r="AI43" s="100">
        <f>IFERROR(__xludf.DUMMYFUNCTION("""COMPUTED_VALUE"""),1.0)</f>
        <v>1</v>
      </c>
      <c r="AJ43" s="101">
        <f>IFERROR(__xludf.DUMMYFUNCTION("""COMPUTED_VALUE"""),0.0)</f>
        <v>0</v>
      </c>
      <c r="AK43" s="78">
        <f>IFERROR(__xludf.DUMMYFUNCTION("""COMPUTED_VALUE"""),16.0)</f>
        <v>16</v>
      </c>
      <c r="AL43" s="78">
        <f>IFERROR(__xludf.DUMMYFUNCTION("""COMPUTED_VALUE"""),2.4)</f>
        <v>2.4</v>
      </c>
      <c r="AM43" s="98">
        <f>IFERROR(__xludf.DUMMYFUNCTION("""COMPUTED_VALUE"""),1.571)</f>
        <v>1.571</v>
      </c>
      <c r="AN43" s="93">
        <f>IFERROR(__xludf.DUMMYFUNCTION("""COMPUTED_VALUE"""),20.0)</f>
        <v>20</v>
      </c>
      <c r="AO43" s="1"/>
      <c r="AP43" s="1"/>
      <c r="AQ43" s="1"/>
      <c r="AR43" s="1"/>
      <c r="AS43" s="1"/>
      <c r="AT43" s="1"/>
      <c r="AU43" s="1"/>
      <c r="AV43" s="1"/>
      <c r="AW43" s="1"/>
      <c r="AX43" s="1">
        <f>IFERROR(__xludf.DUMMYFUNCTION("""COMPUTED_VALUE"""),2.0)</f>
        <v>2</v>
      </c>
    </row>
    <row r="44">
      <c r="A44" s="78">
        <f>IFERROR(__xludf.DUMMYFUNCTION("""COMPUTED_VALUE"""),36.0)</f>
        <v>36</v>
      </c>
      <c r="B44" s="78" t="str">
        <f>IFERROR(__xludf.DUMMYFUNCTION("""COMPUTED_VALUE"""),"25121010")</f>
        <v>25121010</v>
      </c>
      <c r="C44" s="79" t="str">
        <f>IFERROR(__xludf.DUMMYFUNCTION("""COMPUTED_VALUE"""),"Tauhid Hassan Farian")</f>
        <v>Tauhid Hassan Farian</v>
      </c>
      <c r="D44" s="80" t="str">
        <f>IFERROR(__xludf.DUMMYFUNCTION("""COMPUTED_VALUE"""),"tauhid.hassan.farian@g.bracu.ac.bd")</f>
        <v>tauhid.hassan.farian@g.bracu.ac.bd</v>
      </c>
      <c r="E44" s="106" t="b">
        <f>IFERROR(__xludf.DUMMYFUNCTION("""COMPUTED_VALUE"""),TRUE)</f>
        <v>1</v>
      </c>
      <c r="F44" s="107">
        <f>IFERROR(__xludf.DUMMYFUNCTION("""COMPUTED_VALUE"""),5.0)</f>
        <v>5</v>
      </c>
      <c r="G44" s="108" t="str">
        <f>IFERROR(__xludf.DUMMYFUNCTION("""COMPUTED_VALUE"""),"BARRED")</f>
        <v>BARRED</v>
      </c>
      <c r="H44" s="109">
        <f>IFERROR(__xludf.DUMMYFUNCTION("""COMPUTED_VALUE"""),0.0)</f>
        <v>0</v>
      </c>
      <c r="I44" s="110">
        <f>IFERROR(__xludf.DUMMYFUNCTION("""COMPUTED_VALUE"""),1.0)</f>
        <v>1</v>
      </c>
      <c r="J44" s="110">
        <f>IFERROR(__xludf.DUMMYFUNCTION("""COMPUTED_VALUE"""),1.0)</f>
        <v>1</v>
      </c>
      <c r="K44" s="110">
        <f>IFERROR(__xludf.DUMMYFUNCTION("""COMPUTED_VALUE"""),0.0)</f>
        <v>0</v>
      </c>
      <c r="L44" s="110">
        <f>IFERROR(__xludf.DUMMYFUNCTION("""COMPUTED_VALUE"""),0.0)</f>
        <v>0</v>
      </c>
      <c r="M44" s="110">
        <f>IFERROR(__xludf.DUMMYFUNCTION("""COMPUTED_VALUE"""),0.0)</f>
        <v>0</v>
      </c>
      <c r="N44" s="110">
        <f>IFERROR(__xludf.DUMMYFUNCTION("""COMPUTED_VALUE"""),0.0)</f>
        <v>0</v>
      </c>
      <c r="O44" s="111">
        <f>IFERROR(__xludf.DUMMYFUNCTION("""COMPUTED_VALUE"""),0.0)</f>
        <v>0</v>
      </c>
      <c r="P44" s="112"/>
      <c r="Q44" s="113">
        <f>IFERROR(__xludf.DUMMYFUNCTION("""COMPUTED_VALUE"""),5.0)</f>
        <v>5</v>
      </c>
      <c r="R44" s="78"/>
      <c r="S44" s="112"/>
      <c r="T44" s="110"/>
      <c r="U44" s="111"/>
      <c r="V44" s="112"/>
      <c r="W44" s="111"/>
      <c r="X44" s="112">
        <f>IFERROR(__xludf.DUMMYFUNCTION("""COMPUTED_VALUE"""),3.5)</f>
        <v>3.5</v>
      </c>
      <c r="Y44" s="110">
        <f>IFERROR(__xludf.DUMMYFUNCTION("""COMPUTED_VALUE"""),0.0)</f>
        <v>0</v>
      </c>
      <c r="Z44" s="110">
        <f>IFERROR(__xludf.DUMMYFUNCTION("""COMPUTED_VALUE"""),0.0)</f>
        <v>0</v>
      </c>
      <c r="AA44" s="110">
        <f>IFERROR(__xludf.DUMMYFUNCTION("""COMPUTED_VALUE"""),0.0)</f>
        <v>0</v>
      </c>
      <c r="AB44" s="113"/>
      <c r="AC44" s="98">
        <f>IFERROR(__xludf.DUMMYFUNCTION("""COMPUTED_VALUE"""),0.0)</f>
        <v>0</v>
      </c>
      <c r="AD44" s="78">
        <f>IFERROR(__xludf.DUMMYFUNCTION("""COMPUTED_VALUE"""),0.0)</f>
        <v>0</v>
      </c>
      <c r="AE44" s="114"/>
      <c r="AF44" s="112"/>
      <c r="AG44" s="110"/>
      <c r="AH44" s="78"/>
      <c r="AI44" s="115"/>
      <c r="AJ44" s="116">
        <f>IFERROR(__xludf.DUMMYFUNCTION("""COMPUTED_VALUE"""),0.0)</f>
        <v>0</v>
      </c>
      <c r="AK44" s="110">
        <f>IFERROR(__xludf.DUMMYFUNCTION("""COMPUTED_VALUE"""),0.0)</f>
        <v>0</v>
      </c>
      <c r="AL44" s="110">
        <f>IFERROR(__xludf.DUMMYFUNCTION("""COMPUTED_VALUE"""),1.5)</f>
        <v>1.5</v>
      </c>
      <c r="AM44" s="113">
        <f>IFERROR(__xludf.DUMMYFUNCTION("""COMPUTED_VALUE"""),0.175)</f>
        <v>0.175</v>
      </c>
      <c r="AN44" s="113">
        <f>IFERROR(__xludf.DUMMYFUNCTION("""COMPUTED_VALUE"""),0.0)</f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>
        <f>IFERROR(__xludf.DUMMYFUNCTION("""COMPUTED_VALUE"""),1.0)</f>
        <v>1</v>
      </c>
    </row>
    <row r="45">
      <c r="A45" s="78">
        <f>IFERROR(__xludf.DUMMYFUNCTION("""COMPUTED_VALUE"""),37.0)</f>
        <v>37</v>
      </c>
      <c r="B45" s="78" t="str">
        <f>IFERROR(__xludf.DUMMYFUNCTION("""COMPUTED_VALUE"""),"25121020")</f>
        <v>25121020</v>
      </c>
      <c r="C45" s="79" t="str">
        <f>IFERROR(__xludf.DUMMYFUNCTION("""COMPUTED_VALUE"""),"Maruf Ibnee Mijan")</f>
        <v>Maruf Ibnee Mijan</v>
      </c>
      <c r="D45" s="80" t="str">
        <f>IFERROR(__xludf.DUMMYFUNCTION("""COMPUTED_VALUE"""),"maruf.ibnee.mijan@g.bracu.ac.bd")</f>
        <v>maruf.ibnee.mijan@g.bracu.ac.bd</v>
      </c>
      <c r="E45" s="106" t="b">
        <f>IFERROR(__xludf.DUMMYFUNCTION("""COMPUTED_VALUE"""),TRUE)</f>
        <v>1</v>
      </c>
      <c r="F45" s="107">
        <f>IFERROR(__xludf.DUMMYFUNCTION("""COMPUTED_VALUE"""),1.0)</f>
        <v>1</v>
      </c>
      <c r="G45" s="108" t="str">
        <f>IFERROR(__xludf.DUMMYFUNCTION("""COMPUTED_VALUE"""),"WARNING")</f>
        <v>WARNING</v>
      </c>
      <c r="H45" s="97">
        <f>IFERROR(__xludf.DUMMYFUNCTION("""COMPUTED_VALUE"""),1.0)</f>
        <v>1</v>
      </c>
      <c r="I45" s="78">
        <f>IFERROR(__xludf.DUMMYFUNCTION("""COMPUTED_VALUE"""),1.0)</f>
        <v>1</v>
      </c>
      <c r="J45" s="78">
        <f>IFERROR(__xludf.DUMMYFUNCTION("""COMPUTED_VALUE"""),1.0)</f>
        <v>1</v>
      </c>
      <c r="K45" s="78">
        <f>IFERROR(__xludf.DUMMYFUNCTION("""COMPUTED_VALUE"""),1.0)</f>
        <v>1</v>
      </c>
      <c r="L45" s="78">
        <f>IFERROR(__xludf.DUMMYFUNCTION("""COMPUTED_VALUE"""),1.0)</f>
        <v>1</v>
      </c>
      <c r="M45" s="78">
        <f>IFERROR(__xludf.DUMMYFUNCTION("""COMPUTED_VALUE"""),1.0)</f>
        <v>1</v>
      </c>
      <c r="N45" s="78">
        <f>IFERROR(__xludf.DUMMYFUNCTION("""COMPUTED_VALUE"""),1.0)</f>
        <v>1</v>
      </c>
      <c r="O45" s="96">
        <f>IFERROR(__xludf.DUMMYFUNCTION("""COMPUTED_VALUE"""),0.0)</f>
        <v>0</v>
      </c>
      <c r="P45" s="97"/>
      <c r="Q45" s="78">
        <f>IFERROR(__xludf.DUMMYFUNCTION("""COMPUTED_VALUE"""),5.0)</f>
        <v>5</v>
      </c>
      <c r="R45" s="87"/>
      <c r="S45" s="78"/>
      <c r="T45" s="78"/>
      <c r="U45" s="96">
        <f>IFERROR(__xludf.DUMMYFUNCTION("""COMPUTED_VALUE"""),2.0)</f>
        <v>2</v>
      </c>
      <c r="V45" s="97"/>
      <c r="W45" s="96"/>
      <c r="X45" s="97">
        <f>IFERROR(__xludf.DUMMYFUNCTION("""COMPUTED_VALUE"""),0.0)</f>
        <v>0</v>
      </c>
      <c r="Y45" s="78">
        <f>IFERROR(__xludf.DUMMYFUNCTION("""COMPUTED_VALUE"""),3.33)</f>
        <v>3.33</v>
      </c>
      <c r="Z45" s="78">
        <f>IFERROR(__xludf.DUMMYFUNCTION("""COMPUTED_VALUE"""),3.33)</f>
        <v>3.33</v>
      </c>
      <c r="AA45" s="78">
        <f>IFERROR(__xludf.DUMMYFUNCTION("""COMPUTED_VALUE"""),0.0)</f>
        <v>0</v>
      </c>
      <c r="AB45" s="78"/>
      <c r="AC45" s="88">
        <f>IFERROR(__xludf.DUMMYFUNCTION("""COMPUTED_VALUE"""),0.0)</f>
        <v>0</v>
      </c>
      <c r="AD45" s="78">
        <f>IFERROR(__xludf.DUMMYFUNCTION("""COMPUTED_VALUE"""),0.0)</f>
        <v>0</v>
      </c>
      <c r="AE45" s="99"/>
      <c r="AF45" s="97">
        <f>IFERROR(__xludf.DUMMYFUNCTION("""COMPUTED_VALUE"""),8.5)</f>
        <v>8.5</v>
      </c>
      <c r="AG45" s="78">
        <f>IFERROR(__xludf.DUMMYFUNCTION("""COMPUTED_VALUE"""),8.5)</f>
        <v>8.5</v>
      </c>
      <c r="AH45" s="78">
        <f>IFERROR(__xludf.DUMMYFUNCTION("""COMPUTED_VALUE"""),7.75)</f>
        <v>7.75</v>
      </c>
      <c r="AI45" s="100"/>
      <c r="AJ45" s="101">
        <f>IFERROR(__xludf.DUMMYFUNCTION("""COMPUTED_VALUE"""),0.0)</f>
        <v>0</v>
      </c>
      <c r="AK45" s="78">
        <f>IFERROR(__xludf.DUMMYFUNCTION("""COMPUTED_VALUE"""),16.5)</f>
        <v>16.5</v>
      </c>
      <c r="AL45" s="78">
        <f>IFERROR(__xludf.DUMMYFUNCTION("""COMPUTED_VALUE"""),2.1)</f>
        <v>2.1</v>
      </c>
      <c r="AM45" s="98">
        <f>IFERROR(__xludf.DUMMYFUNCTION("""COMPUTED_VALUE"""),0.333)</f>
        <v>0.333</v>
      </c>
      <c r="AN45" s="93">
        <f>IFERROR(__xludf.DUMMYFUNCTION("""COMPUTED_VALUE"""),19.0)</f>
        <v>19</v>
      </c>
      <c r="AO45" s="1"/>
      <c r="AP45" s="1"/>
      <c r="AQ45" s="1"/>
      <c r="AR45" s="1"/>
      <c r="AS45" s="1"/>
      <c r="AT45" s="1"/>
      <c r="AU45" s="1"/>
      <c r="AV45" s="1"/>
      <c r="AW45" s="1"/>
      <c r="AX45" s="1">
        <f>IFERROR(__xludf.DUMMYFUNCTION("""COMPUTED_VALUE"""),2.0)</f>
        <v>2</v>
      </c>
    </row>
    <row r="46" hidden="1">
      <c r="A46" s="78">
        <f>IFERROR(__xludf.DUMMYFUNCTION("""COMPUTED_VALUE"""),38.0)</f>
        <v>38</v>
      </c>
      <c r="B46" s="78"/>
      <c r="C46" s="78"/>
      <c r="D46" s="80"/>
      <c r="E46" s="106" t="b">
        <f>IFERROR(__xludf.DUMMYFUNCTION("""COMPUTED_VALUE"""),FALSE)</f>
        <v>0</v>
      </c>
      <c r="F46" s="107">
        <f>IFERROR(__xludf.DUMMYFUNCTION("""COMPUTED_VALUE"""),0.0)</f>
        <v>0</v>
      </c>
      <c r="G46" s="108" t="str">
        <f>IFERROR(__xludf.DUMMYFUNCTION("""COMPUTED_VALUE"""),"OKAY")</f>
        <v>OKAY</v>
      </c>
      <c r="H46" s="97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87"/>
      <c r="AE46" s="78"/>
      <c r="AF46" s="78"/>
      <c r="AG46" s="78"/>
      <c r="AH46" s="78"/>
      <c r="AI46" s="78"/>
      <c r="AJ46" s="117">
        <f>IFERROR(__xludf.DUMMYFUNCTION("""COMPUTED_VALUE"""),0.0)</f>
        <v>0</v>
      </c>
      <c r="AK46" s="78">
        <f>IFERROR(__xludf.DUMMYFUNCTION("""COMPUTED_VALUE"""),0.0)</f>
        <v>0</v>
      </c>
      <c r="AL46" s="78">
        <f>IFERROR(__xludf.DUMMYFUNCTION("""COMPUTED_VALUE"""),0.0)</f>
        <v>0</v>
      </c>
      <c r="AM46" s="78">
        <f>IFERROR(__xludf.DUMMYFUNCTION("""COMPUTED_VALUE"""),0.0)</f>
        <v>0</v>
      </c>
      <c r="AN46" s="1">
        <f>IFERROR(__xludf.DUMMYFUNCTION("""COMPUTED_VALUE"""),0.0)</f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>
        <f>IFERROR(__xludf.DUMMYFUNCTION("""COMPUTED_VALUE"""),0.0)</f>
        <v>0</v>
      </c>
    </row>
    <row r="47" hidden="1">
      <c r="A47" s="78">
        <f>IFERROR(__xludf.DUMMYFUNCTION("""COMPUTED_VALUE"""),39.0)</f>
        <v>39</v>
      </c>
      <c r="B47" s="78"/>
      <c r="C47" s="78"/>
      <c r="D47" s="80"/>
      <c r="E47" s="106" t="b">
        <f>IFERROR(__xludf.DUMMYFUNCTION("""COMPUTED_VALUE"""),FALSE)</f>
        <v>0</v>
      </c>
      <c r="F47" s="107">
        <f>IFERROR(__xludf.DUMMYFUNCTION("""COMPUTED_VALUE"""),0.0)</f>
        <v>0</v>
      </c>
      <c r="G47" s="108" t="str">
        <f>IFERROR(__xludf.DUMMYFUNCTION("""COMPUTED_VALUE"""),"OKAY")</f>
        <v>OKAY</v>
      </c>
      <c r="H47" s="97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117">
        <f>IFERROR(__xludf.DUMMYFUNCTION("""COMPUTED_VALUE"""),0.0)</f>
        <v>0</v>
      </c>
      <c r="AK47" s="78">
        <f>IFERROR(__xludf.DUMMYFUNCTION("""COMPUTED_VALUE"""),0.0)</f>
        <v>0</v>
      </c>
      <c r="AL47" s="78">
        <f>IFERROR(__xludf.DUMMYFUNCTION("""COMPUTED_VALUE"""),0.0)</f>
        <v>0</v>
      </c>
      <c r="AM47" s="78">
        <f>IFERROR(__xludf.DUMMYFUNCTION("""COMPUTED_VALUE"""),0.0)</f>
        <v>0</v>
      </c>
      <c r="AN47" s="1">
        <f>IFERROR(__xludf.DUMMYFUNCTION("""COMPUTED_VALUE"""),0.0)</f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>
        <f>IFERROR(__xludf.DUMMYFUNCTION("""COMPUTED_VALUE"""),0.0)</f>
        <v>0</v>
      </c>
    </row>
    <row r="48">
      <c r="D48" s="118"/>
    </row>
    <row r="49">
      <c r="D49" s="118"/>
    </row>
    <row r="50">
      <c r="D50" s="118"/>
    </row>
    <row r="51">
      <c r="D51" s="118"/>
    </row>
    <row r="52">
      <c r="D52" s="118"/>
    </row>
    <row r="53">
      <c r="D53" s="118"/>
    </row>
    <row r="54">
      <c r="D54" s="118"/>
    </row>
    <row r="55">
      <c r="D55" s="118"/>
    </row>
    <row r="56">
      <c r="D56" s="118"/>
    </row>
    <row r="57">
      <c r="D57" s="118"/>
    </row>
    <row r="58">
      <c r="D58" s="118"/>
    </row>
    <row r="59">
      <c r="D59" s="118"/>
    </row>
    <row r="60">
      <c r="D60" s="118"/>
    </row>
    <row r="61">
      <c r="D61" s="118"/>
    </row>
    <row r="62">
      <c r="D62" s="118"/>
    </row>
    <row r="63">
      <c r="D63" s="118"/>
    </row>
    <row r="64">
      <c r="D64" s="118"/>
    </row>
    <row r="65">
      <c r="D65" s="118"/>
    </row>
    <row r="66">
      <c r="D66" s="118"/>
    </row>
    <row r="67">
      <c r="D67" s="118"/>
    </row>
    <row r="68">
      <c r="D68" s="118"/>
    </row>
    <row r="69">
      <c r="D69" s="118"/>
    </row>
    <row r="70">
      <c r="D70" s="118"/>
    </row>
    <row r="71">
      <c r="D71" s="118"/>
    </row>
    <row r="72">
      <c r="D72" s="118"/>
    </row>
    <row r="73">
      <c r="D73" s="118"/>
    </row>
    <row r="74">
      <c r="D74" s="118"/>
    </row>
    <row r="75">
      <c r="D75" s="118"/>
    </row>
    <row r="76">
      <c r="D76" s="118"/>
    </row>
    <row r="77">
      <c r="D77" s="118"/>
    </row>
    <row r="78">
      <c r="D78" s="118"/>
    </row>
    <row r="79">
      <c r="D79" s="118"/>
    </row>
    <row r="80">
      <c r="D80" s="118"/>
    </row>
    <row r="81">
      <c r="D81" s="118"/>
    </row>
    <row r="82">
      <c r="D82" s="118"/>
    </row>
    <row r="83">
      <c r="D83" s="118"/>
    </row>
    <row r="84">
      <c r="D84" s="118"/>
    </row>
    <row r="85">
      <c r="D85" s="118"/>
    </row>
    <row r="86">
      <c r="D86" s="118"/>
    </row>
    <row r="87">
      <c r="D87" s="118"/>
    </row>
    <row r="88">
      <c r="D88" s="118"/>
    </row>
    <row r="89">
      <c r="D89" s="118"/>
    </row>
    <row r="90">
      <c r="D90" s="118"/>
    </row>
    <row r="91">
      <c r="D91" s="118"/>
    </row>
    <row r="92">
      <c r="D92" s="118"/>
    </row>
    <row r="93">
      <c r="D93" s="118"/>
    </row>
    <row r="94">
      <c r="D94" s="118"/>
    </row>
    <row r="95">
      <c r="D95" s="118"/>
    </row>
    <row r="96">
      <c r="D96" s="118"/>
    </row>
    <row r="97">
      <c r="D97" s="118"/>
    </row>
    <row r="98">
      <c r="D98" s="118"/>
    </row>
    <row r="99">
      <c r="D99" s="118"/>
    </row>
    <row r="100">
      <c r="D100" s="118"/>
    </row>
    <row r="101">
      <c r="D101" s="118"/>
    </row>
    <row r="102">
      <c r="D102" s="118"/>
    </row>
    <row r="103">
      <c r="D103" s="118"/>
    </row>
    <row r="104">
      <c r="D104" s="118"/>
    </row>
    <row r="105">
      <c r="D105" s="118"/>
    </row>
    <row r="106">
      <c r="D106" s="118"/>
    </row>
    <row r="107">
      <c r="D107" s="118"/>
    </row>
    <row r="108">
      <c r="D108" s="118"/>
    </row>
    <row r="109">
      <c r="D109" s="118"/>
    </row>
    <row r="110">
      <c r="D110" s="118"/>
    </row>
    <row r="111">
      <c r="D111" s="118"/>
    </row>
    <row r="112">
      <c r="D112" s="118"/>
    </row>
    <row r="113">
      <c r="D113" s="118"/>
    </row>
    <row r="114">
      <c r="D114" s="118"/>
    </row>
    <row r="115">
      <c r="D115" s="118"/>
    </row>
    <row r="116">
      <c r="D116" s="118"/>
    </row>
    <row r="117">
      <c r="D117" s="118"/>
    </row>
    <row r="118">
      <c r="D118" s="118"/>
    </row>
    <row r="119">
      <c r="D119" s="118"/>
    </row>
    <row r="120">
      <c r="D120" s="118"/>
    </row>
    <row r="121">
      <c r="D121" s="118"/>
    </row>
    <row r="122">
      <c r="D122" s="118"/>
    </row>
    <row r="123">
      <c r="D123" s="118"/>
    </row>
    <row r="124">
      <c r="D124" s="118"/>
    </row>
    <row r="125">
      <c r="D125" s="118"/>
    </row>
    <row r="126">
      <c r="D126" s="118"/>
    </row>
    <row r="127">
      <c r="D127" s="118"/>
    </row>
    <row r="128">
      <c r="D128" s="118"/>
    </row>
    <row r="129">
      <c r="D129" s="118"/>
    </row>
    <row r="130">
      <c r="D130" s="118"/>
    </row>
    <row r="131">
      <c r="D131" s="118"/>
    </row>
    <row r="132">
      <c r="D132" s="118"/>
    </row>
    <row r="133">
      <c r="D133" s="118"/>
    </row>
    <row r="134">
      <c r="D134" s="118"/>
    </row>
    <row r="135">
      <c r="D135" s="118"/>
    </row>
    <row r="136">
      <c r="D136" s="118"/>
    </row>
    <row r="137">
      <c r="D137" s="118"/>
    </row>
    <row r="138">
      <c r="D138" s="118"/>
    </row>
    <row r="139">
      <c r="D139" s="118"/>
    </row>
    <row r="140">
      <c r="D140" s="118"/>
    </row>
    <row r="141">
      <c r="D141" s="118"/>
    </row>
    <row r="142">
      <c r="D142" s="118"/>
    </row>
    <row r="143">
      <c r="D143" s="118"/>
    </row>
    <row r="144">
      <c r="D144" s="118"/>
    </row>
    <row r="145">
      <c r="D145" s="118"/>
    </row>
    <row r="146">
      <c r="D146" s="118"/>
    </row>
    <row r="147">
      <c r="D147" s="118"/>
    </row>
    <row r="148">
      <c r="D148" s="118"/>
    </row>
    <row r="149">
      <c r="D149" s="118"/>
    </row>
    <row r="150">
      <c r="D150" s="118"/>
    </row>
    <row r="151">
      <c r="D151" s="118"/>
    </row>
    <row r="152">
      <c r="D152" s="118"/>
    </row>
    <row r="153">
      <c r="D153" s="118"/>
    </row>
    <row r="154">
      <c r="D154" s="118"/>
    </row>
    <row r="155">
      <c r="D155" s="118"/>
    </row>
    <row r="156">
      <c r="D156" s="118"/>
    </row>
    <row r="157">
      <c r="D157" s="118"/>
    </row>
    <row r="158">
      <c r="D158" s="118"/>
    </row>
    <row r="159">
      <c r="D159" s="118"/>
    </row>
    <row r="160">
      <c r="D160" s="118"/>
    </row>
    <row r="161">
      <c r="D161" s="118"/>
    </row>
    <row r="162">
      <c r="D162" s="118"/>
    </row>
    <row r="163">
      <c r="D163" s="118"/>
    </row>
    <row r="164">
      <c r="D164" s="118"/>
    </row>
    <row r="165">
      <c r="D165" s="118"/>
    </row>
    <row r="166">
      <c r="D166" s="118"/>
    </row>
    <row r="167">
      <c r="D167" s="118"/>
    </row>
    <row r="168">
      <c r="D168" s="118"/>
    </row>
    <row r="169">
      <c r="D169" s="118"/>
    </row>
    <row r="170">
      <c r="D170" s="118"/>
    </row>
    <row r="171">
      <c r="D171" s="118"/>
    </row>
    <row r="172">
      <c r="D172" s="118"/>
    </row>
    <row r="173">
      <c r="D173" s="118"/>
    </row>
    <row r="174">
      <c r="D174" s="118"/>
    </row>
    <row r="175">
      <c r="D175" s="118"/>
    </row>
    <row r="176">
      <c r="D176" s="118"/>
    </row>
    <row r="177">
      <c r="D177" s="118"/>
    </row>
    <row r="178">
      <c r="D178" s="118"/>
    </row>
    <row r="179">
      <c r="D179" s="118"/>
    </row>
    <row r="180">
      <c r="D180" s="118"/>
    </row>
    <row r="181">
      <c r="D181" s="118"/>
    </row>
    <row r="182">
      <c r="D182" s="118"/>
    </row>
    <row r="183">
      <c r="D183" s="118"/>
    </row>
    <row r="184">
      <c r="D184" s="118"/>
    </row>
    <row r="185">
      <c r="D185" s="118"/>
    </row>
    <row r="186">
      <c r="D186" s="118"/>
    </row>
    <row r="187">
      <c r="D187" s="118"/>
    </row>
    <row r="188">
      <c r="D188" s="118"/>
    </row>
    <row r="189">
      <c r="D189" s="118"/>
    </row>
    <row r="190">
      <c r="D190" s="118"/>
    </row>
    <row r="191">
      <c r="D191" s="118"/>
    </row>
    <row r="192">
      <c r="D192" s="118"/>
    </row>
    <row r="193">
      <c r="D193" s="118"/>
    </row>
    <row r="194">
      <c r="D194" s="118"/>
    </row>
    <row r="195">
      <c r="D195" s="118"/>
    </row>
    <row r="196">
      <c r="D196" s="118"/>
    </row>
    <row r="197">
      <c r="D197" s="118"/>
    </row>
    <row r="198">
      <c r="D198" s="118"/>
    </row>
    <row r="199">
      <c r="D199" s="118"/>
    </row>
    <row r="200">
      <c r="D200" s="118"/>
    </row>
    <row r="201">
      <c r="D201" s="118"/>
    </row>
    <row r="202">
      <c r="D202" s="118"/>
    </row>
    <row r="203">
      <c r="D203" s="118"/>
    </row>
    <row r="204">
      <c r="D204" s="118"/>
    </row>
    <row r="205">
      <c r="D205" s="118"/>
    </row>
    <row r="206">
      <c r="D206" s="118"/>
    </row>
    <row r="207">
      <c r="D207" s="118"/>
    </row>
    <row r="208">
      <c r="D208" s="118"/>
    </row>
    <row r="209">
      <c r="D209" s="118"/>
    </row>
    <row r="210">
      <c r="D210" s="118"/>
    </row>
    <row r="211">
      <c r="D211" s="118"/>
    </row>
    <row r="212">
      <c r="D212" s="118"/>
    </row>
    <row r="213">
      <c r="D213" s="118"/>
    </row>
    <row r="214">
      <c r="D214" s="118"/>
    </row>
    <row r="215">
      <c r="D215" s="118"/>
    </row>
    <row r="216">
      <c r="D216" s="118"/>
    </row>
    <row r="217">
      <c r="D217" s="118"/>
    </row>
    <row r="218">
      <c r="D218" s="118"/>
    </row>
    <row r="219">
      <c r="D219" s="118"/>
    </row>
    <row r="220">
      <c r="D220" s="118"/>
    </row>
    <row r="221">
      <c r="D221" s="118"/>
    </row>
    <row r="222">
      <c r="D222" s="118"/>
    </row>
    <row r="223">
      <c r="D223" s="118"/>
    </row>
    <row r="224">
      <c r="D224" s="118"/>
    </row>
    <row r="225">
      <c r="D225" s="118"/>
    </row>
    <row r="226">
      <c r="D226" s="118"/>
    </row>
    <row r="227">
      <c r="D227" s="118"/>
    </row>
    <row r="228">
      <c r="D228" s="118"/>
    </row>
    <row r="229">
      <c r="D229" s="118"/>
    </row>
    <row r="230">
      <c r="D230" s="118"/>
    </row>
    <row r="231">
      <c r="D231" s="118"/>
    </row>
    <row r="232">
      <c r="D232" s="118"/>
    </row>
    <row r="233">
      <c r="D233" s="118"/>
    </row>
    <row r="234">
      <c r="D234" s="118"/>
    </row>
    <row r="235">
      <c r="D235" s="118"/>
    </row>
    <row r="236">
      <c r="D236" s="118"/>
    </row>
    <row r="237">
      <c r="D237" s="118"/>
    </row>
    <row r="238">
      <c r="D238" s="118"/>
    </row>
    <row r="239">
      <c r="D239" s="118"/>
    </row>
    <row r="240">
      <c r="D240" s="118"/>
    </row>
    <row r="241">
      <c r="D241" s="118"/>
    </row>
    <row r="242">
      <c r="D242" s="118"/>
    </row>
    <row r="243">
      <c r="D243" s="118"/>
    </row>
    <row r="244">
      <c r="D244" s="118"/>
    </row>
    <row r="245">
      <c r="D245" s="118"/>
    </row>
    <row r="246">
      <c r="D246" s="118"/>
    </row>
    <row r="247">
      <c r="D247" s="118"/>
    </row>
    <row r="248">
      <c r="D248" s="118"/>
    </row>
    <row r="249">
      <c r="D249" s="118"/>
    </row>
    <row r="250">
      <c r="D250" s="118"/>
    </row>
    <row r="251">
      <c r="D251" s="118"/>
    </row>
    <row r="252">
      <c r="D252" s="118"/>
    </row>
    <row r="253">
      <c r="D253" s="118"/>
    </row>
    <row r="254">
      <c r="D254" s="118"/>
    </row>
    <row r="255">
      <c r="D255" s="118"/>
    </row>
    <row r="256">
      <c r="D256" s="118"/>
    </row>
    <row r="257">
      <c r="D257" s="118"/>
    </row>
    <row r="258">
      <c r="D258" s="118"/>
    </row>
    <row r="259">
      <c r="D259" s="118"/>
    </row>
    <row r="260">
      <c r="D260" s="118"/>
    </row>
    <row r="261">
      <c r="D261" s="118"/>
    </row>
    <row r="262">
      <c r="D262" s="118"/>
    </row>
    <row r="263">
      <c r="D263" s="118"/>
    </row>
    <row r="264">
      <c r="D264" s="118"/>
    </row>
    <row r="265">
      <c r="D265" s="118"/>
    </row>
    <row r="266">
      <c r="D266" s="118"/>
    </row>
    <row r="267">
      <c r="D267" s="118"/>
    </row>
    <row r="268">
      <c r="D268" s="118"/>
    </row>
    <row r="269">
      <c r="D269" s="118"/>
    </row>
    <row r="270">
      <c r="D270" s="118"/>
    </row>
    <row r="271">
      <c r="D271" s="118"/>
    </row>
    <row r="272">
      <c r="D272" s="118"/>
    </row>
    <row r="273">
      <c r="D273" s="118"/>
    </row>
    <row r="274">
      <c r="D274" s="118"/>
    </row>
    <row r="275">
      <c r="D275" s="118"/>
    </row>
    <row r="276">
      <c r="D276" s="118"/>
    </row>
    <row r="277">
      <c r="D277" s="118"/>
    </row>
    <row r="278">
      <c r="D278" s="118"/>
    </row>
    <row r="279">
      <c r="D279" s="118"/>
    </row>
    <row r="280">
      <c r="D280" s="118"/>
    </row>
    <row r="281">
      <c r="D281" s="118"/>
    </row>
    <row r="282">
      <c r="D282" s="118"/>
    </row>
    <row r="283">
      <c r="D283" s="118"/>
    </row>
    <row r="284">
      <c r="D284" s="118"/>
    </row>
    <row r="285">
      <c r="D285" s="118"/>
    </row>
    <row r="286">
      <c r="D286" s="118"/>
    </row>
    <row r="287">
      <c r="D287" s="118"/>
    </row>
    <row r="288">
      <c r="D288" s="118"/>
    </row>
    <row r="289">
      <c r="D289" s="118"/>
    </row>
    <row r="290">
      <c r="D290" s="118"/>
    </row>
    <row r="291">
      <c r="D291" s="118"/>
    </row>
    <row r="292">
      <c r="D292" s="118"/>
    </row>
    <row r="293">
      <c r="D293" s="118"/>
    </row>
    <row r="294">
      <c r="D294" s="118"/>
    </row>
    <row r="295">
      <c r="D295" s="118"/>
    </row>
    <row r="296">
      <c r="D296" s="118"/>
    </row>
    <row r="297">
      <c r="D297" s="118"/>
    </row>
    <row r="298">
      <c r="D298" s="118"/>
    </row>
    <row r="299">
      <c r="D299" s="118"/>
    </row>
    <row r="300">
      <c r="D300" s="118"/>
    </row>
    <row r="301">
      <c r="D301" s="118"/>
    </row>
    <row r="302">
      <c r="D302" s="118"/>
    </row>
    <row r="303">
      <c r="D303" s="118"/>
    </row>
    <row r="304">
      <c r="D304" s="118"/>
    </row>
    <row r="305">
      <c r="D305" s="118"/>
    </row>
    <row r="306">
      <c r="D306" s="118"/>
    </row>
    <row r="307">
      <c r="D307" s="118"/>
    </row>
    <row r="308">
      <c r="D308" s="118"/>
    </row>
    <row r="309">
      <c r="D309" s="118"/>
    </row>
    <row r="310">
      <c r="D310" s="118"/>
    </row>
    <row r="311">
      <c r="D311" s="118"/>
    </row>
    <row r="312">
      <c r="D312" s="118"/>
    </row>
    <row r="313">
      <c r="D313" s="118"/>
    </row>
    <row r="314">
      <c r="D314" s="118"/>
    </row>
    <row r="315">
      <c r="D315" s="118"/>
    </row>
    <row r="316">
      <c r="D316" s="118"/>
    </row>
    <row r="317">
      <c r="D317" s="118"/>
    </row>
    <row r="318">
      <c r="D318" s="118"/>
    </row>
    <row r="319">
      <c r="D319" s="118"/>
    </row>
    <row r="320">
      <c r="D320" s="118"/>
    </row>
    <row r="321">
      <c r="D321" s="118"/>
    </row>
    <row r="322">
      <c r="D322" s="118"/>
    </row>
    <row r="323">
      <c r="D323" s="118"/>
    </row>
    <row r="324">
      <c r="D324" s="118"/>
    </row>
    <row r="325">
      <c r="D325" s="118"/>
    </row>
    <row r="326">
      <c r="D326" s="118"/>
    </row>
    <row r="327">
      <c r="D327" s="118"/>
    </row>
    <row r="328">
      <c r="D328" s="118"/>
    </row>
    <row r="329">
      <c r="D329" s="118"/>
    </row>
    <row r="330">
      <c r="D330" s="118"/>
    </row>
    <row r="331">
      <c r="D331" s="118"/>
    </row>
    <row r="332">
      <c r="D332" s="118"/>
    </row>
    <row r="333">
      <c r="D333" s="118"/>
    </row>
    <row r="334">
      <c r="D334" s="118"/>
    </row>
    <row r="335">
      <c r="D335" s="118"/>
    </row>
    <row r="336">
      <c r="D336" s="118"/>
    </row>
    <row r="337">
      <c r="D337" s="118"/>
    </row>
    <row r="338">
      <c r="D338" s="118"/>
    </row>
    <row r="339">
      <c r="D339" s="118"/>
    </row>
    <row r="340">
      <c r="D340" s="118"/>
    </row>
    <row r="341">
      <c r="D341" s="118"/>
    </row>
    <row r="342">
      <c r="D342" s="118"/>
    </row>
    <row r="343">
      <c r="D343" s="118"/>
    </row>
    <row r="344">
      <c r="D344" s="118"/>
    </row>
    <row r="345">
      <c r="D345" s="118"/>
    </row>
    <row r="346">
      <c r="D346" s="118"/>
    </row>
    <row r="347">
      <c r="D347" s="118"/>
    </row>
    <row r="348">
      <c r="D348" s="118"/>
    </row>
    <row r="349">
      <c r="D349" s="118"/>
    </row>
    <row r="350">
      <c r="D350" s="118"/>
    </row>
    <row r="351">
      <c r="D351" s="118"/>
    </row>
    <row r="352">
      <c r="D352" s="118"/>
    </row>
    <row r="353">
      <c r="D353" s="118"/>
    </row>
    <row r="354">
      <c r="D354" s="118"/>
    </row>
    <row r="355">
      <c r="D355" s="118"/>
    </row>
    <row r="356">
      <c r="D356" s="118"/>
    </row>
    <row r="357">
      <c r="D357" s="118"/>
    </row>
    <row r="358">
      <c r="D358" s="118"/>
    </row>
    <row r="359">
      <c r="D359" s="118"/>
    </row>
    <row r="360">
      <c r="D360" s="118"/>
    </row>
    <row r="361">
      <c r="D361" s="118"/>
    </row>
    <row r="362">
      <c r="D362" s="118"/>
    </row>
    <row r="363">
      <c r="D363" s="118"/>
    </row>
    <row r="364">
      <c r="D364" s="118"/>
    </row>
    <row r="365">
      <c r="D365" s="118"/>
    </row>
    <row r="366">
      <c r="D366" s="118"/>
    </row>
    <row r="367">
      <c r="D367" s="118"/>
    </row>
    <row r="368">
      <c r="D368" s="118"/>
    </row>
    <row r="369">
      <c r="D369" s="118"/>
    </row>
    <row r="370">
      <c r="D370" s="118"/>
    </row>
    <row r="371">
      <c r="D371" s="118"/>
    </row>
    <row r="372">
      <c r="D372" s="118"/>
    </row>
    <row r="373">
      <c r="D373" s="118"/>
    </row>
    <row r="374">
      <c r="D374" s="118"/>
    </row>
    <row r="375">
      <c r="D375" s="118"/>
    </row>
    <row r="376">
      <c r="D376" s="118"/>
    </row>
    <row r="377">
      <c r="D377" s="118"/>
    </row>
    <row r="378">
      <c r="D378" s="118"/>
    </row>
    <row r="379">
      <c r="D379" s="118"/>
    </row>
    <row r="380">
      <c r="D380" s="118"/>
    </row>
    <row r="381">
      <c r="D381" s="118"/>
    </row>
    <row r="382">
      <c r="D382" s="118"/>
    </row>
    <row r="383">
      <c r="D383" s="118"/>
    </row>
    <row r="384">
      <c r="D384" s="118"/>
    </row>
    <row r="385">
      <c r="D385" s="118"/>
    </row>
    <row r="386">
      <c r="D386" s="118"/>
    </row>
    <row r="387">
      <c r="D387" s="118"/>
    </row>
    <row r="388">
      <c r="D388" s="118"/>
    </row>
    <row r="389">
      <c r="D389" s="118"/>
    </row>
    <row r="390">
      <c r="D390" s="118"/>
    </row>
    <row r="391">
      <c r="D391" s="118"/>
    </row>
    <row r="392">
      <c r="D392" s="118"/>
    </row>
    <row r="393">
      <c r="D393" s="118"/>
    </row>
    <row r="394">
      <c r="D394" s="118"/>
    </row>
    <row r="395">
      <c r="D395" s="118"/>
    </row>
    <row r="396">
      <c r="D396" s="118"/>
    </row>
    <row r="397">
      <c r="D397" s="118"/>
    </row>
    <row r="398">
      <c r="D398" s="118"/>
    </row>
    <row r="399">
      <c r="D399" s="118"/>
    </row>
    <row r="400">
      <c r="D400" s="118"/>
    </row>
    <row r="401">
      <c r="D401" s="118"/>
    </row>
    <row r="402">
      <c r="D402" s="118"/>
    </row>
    <row r="403">
      <c r="D403" s="118"/>
    </row>
    <row r="404">
      <c r="D404" s="118"/>
    </row>
    <row r="405">
      <c r="D405" s="118"/>
    </row>
    <row r="406">
      <c r="D406" s="118"/>
    </row>
    <row r="407">
      <c r="D407" s="118"/>
    </row>
    <row r="408">
      <c r="D408" s="118"/>
    </row>
    <row r="409">
      <c r="D409" s="118"/>
    </row>
    <row r="410">
      <c r="D410" s="118"/>
    </row>
    <row r="411">
      <c r="D411" s="118"/>
    </row>
    <row r="412">
      <c r="D412" s="118"/>
    </row>
    <row r="413">
      <c r="D413" s="118"/>
    </row>
    <row r="414">
      <c r="D414" s="118"/>
    </row>
    <row r="415">
      <c r="D415" s="118"/>
    </row>
    <row r="416">
      <c r="D416" s="118"/>
    </row>
    <row r="417">
      <c r="D417" s="118"/>
    </row>
    <row r="418">
      <c r="D418" s="118"/>
    </row>
    <row r="419">
      <c r="D419" s="118"/>
    </row>
    <row r="420">
      <c r="D420" s="118"/>
    </row>
    <row r="421">
      <c r="D421" s="118"/>
    </row>
    <row r="422">
      <c r="D422" s="118"/>
    </row>
    <row r="423">
      <c r="D423" s="118"/>
    </row>
    <row r="424">
      <c r="D424" s="118"/>
    </row>
    <row r="425">
      <c r="D425" s="118"/>
    </row>
    <row r="426">
      <c r="D426" s="118"/>
    </row>
    <row r="427">
      <c r="D427" s="118"/>
    </row>
    <row r="428">
      <c r="D428" s="118"/>
    </row>
    <row r="429">
      <c r="D429" s="118"/>
    </row>
    <row r="430">
      <c r="D430" s="118"/>
    </row>
    <row r="431">
      <c r="D431" s="118"/>
    </row>
    <row r="432">
      <c r="D432" s="118"/>
    </row>
    <row r="433">
      <c r="D433" s="118"/>
    </row>
    <row r="434">
      <c r="D434" s="118"/>
    </row>
    <row r="435">
      <c r="D435" s="118"/>
    </row>
    <row r="436">
      <c r="D436" s="118"/>
    </row>
    <row r="437">
      <c r="D437" s="118"/>
    </row>
    <row r="438">
      <c r="D438" s="118"/>
    </row>
    <row r="439">
      <c r="D439" s="118"/>
    </row>
    <row r="440">
      <c r="D440" s="118"/>
    </row>
    <row r="441">
      <c r="D441" s="118"/>
    </row>
    <row r="442">
      <c r="D442" s="118"/>
    </row>
    <row r="443">
      <c r="D443" s="118"/>
    </row>
    <row r="444">
      <c r="D444" s="118"/>
    </row>
    <row r="445">
      <c r="D445" s="118"/>
    </row>
    <row r="446">
      <c r="D446" s="118"/>
    </row>
    <row r="447">
      <c r="D447" s="118"/>
    </row>
    <row r="448">
      <c r="D448" s="118"/>
    </row>
    <row r="449">
      <c r="D449" s="118"/>
    </row>
    <row r="450">
      <c r="D450" s="118"/>
    </row>
    <row r="451">
      <c r="D451" s="118"/>
    </row>
    <row r="452">
      <c r="D452" s="118"/>
    </row>
    <row r="453">
      <c r="D453" s="118"/>
    </row>
    <row r="454">
      <c r="D454" s="118"/>
    </row>
    <row r="455">
      <c r="D455" s="118"/>
    </row>
    <row r="456">
      <c r="D456" s="118"/>
    </row>
    <row r="457">
      <c r="D457" s="118"/>
    </row>
    <row r="458">
      <c r="D458" s="118"/>
    </row>
    <row r="459">
      <c r="D459" s="118"/>
    </row>
    <row r="460">
      <c r="D460" s="118"/>
    </row>
    <row r="461">
      <c r="D461" s="118"/>
    </row>
    <row r="462">
      <c r="D462" s="118"/>
    </row>
    <row r="463">
      <c r="D463" s="118"/>
    </row>
    <row r="464">
      <c r="D464" s="118"/>
    </row>
    <row r="465">
      <c r="D465" s="118"/>
    </row>
    <row r="466">
      <c r="D466" s="118"/>
    </row>
    <row r="467">
      <c r="D467" s="118"/>
    </row>
    <row r="468">
      <c r="D468" s="118"/>
    </row>
    <row r="469">
      <c r="D469" s="118"/>
    </row>
    <row r="470">
      <c r="D470" s="118"/>
    </row>
    <row r="471">
      <c r="D471" s="118"/>
    </row>
    <row r="472">
      <c r="D472" s="118"/>
    </row>
    <row r="473">
      <c r="D473" s="118"/>
    </row>
    <row r="474">
      <c r="D474" s="118"/>
    </row>
    <row r="475">
      <c r="D475" s="118"/>
    </row>
    <row r="476">
      <c r="D476" s="118"/>
    </row>
    <row r="477">
      <c r="D477" s="118"/>
    </row>
    <row r="478">
      <c r="D478" s="118"/>
    </row>
    <row r="479">
      <c r="D479" s="118"/>
    </row>
    <row r="480">
      <c r="D480" s="118"/>
    </row>
    <row r="481">
      <c r="D481" s="118"/>
    </row>
    <row r="482">
      <c r="D482" s="118"/>
    </row>
    <row r="483">
      <c r="D483" s="118"/>
    </row>
    <row r="484">
      <c r="D484" s="118"/>
    </row>
    <row r="485">
      <c r="D485" s="118"/>
    </row>
    <row r="486">
      <c r="D486" s="118"/>
    </row>
    <row r="487">
      <c r="D487" s="118"/>
    </row>
    <row r="488">
      <c r="D488" s="118"/>
    </row>
    <row r="489">
      <c r="D489" s="118"/>
    </row>
    <row r="490">
      <c r="D490" s="118"/>
    </row>
    <row r="491">
      <c r="D491" s="118"/>
    </row>
    <row r="492">
      <c r="D492" s="118"/>
    </row>
    <row r="493">
      <c r="D493" s="118"/>
    </row>
    <row r="494">
      <c r="D494" s="118"/>
    </row>
    <row r="495">
      <c r="D495" s="118"/>
    </row>
    <row r="496">
      <c r="D496" s="118"/>
    </row>
    <row r="497">
      <c r="D497" s="118"/>
    </row>
    <row r="498">
      <c r="D498" s="118"/>
    </row>
    <row r="499">
      <c r="D499" s="118"/>
    </row>
    <row r="500">
      <c r="D500" s="118"/>
    </row>
    <row r="501">
      <c r="D501" s="118"/>
    </row>
    <row r="502">
      <c r="D502" s="118"/>
    </row>
    <row r="503">
      <c r="D503" s="118"/>
    </row>
    <row r="504">
      <c r="D504" s="118"/>
    </row>
    <row r="505">
      <c r="D505" s="118"/>
    </row>
    <row r="506">
      <c r="D506" s="118"/>
    </row>
    <row r="507">
      <c r="D507" s="118"/>
    </row>
    <row r="508">
      <c r="D508" s="118"/>
    </row>
    <row r="509">
      <c r="D509" s="118"/>
    </row>
    <row r="510">
      <c r="D510" s="118"/>
    </row>
    <row r="511">
      <c r="D511" s="118"/>
    </row>
    <row r="512">
      <c r="D512" s="118"/>
    </row>
    <row r="513">
      <c r="D513" s="118"/>
    </row>
    <row r="514">
      <c r="D514" s="118"/>
    </row>
    <row r="515">
      <c r="D515" s="118"/>
    </row>
    <row r="516">
      <c r="D516" s="118"/>
    </row>
    <row r="517">
      <c r="D517" s="118"/>
    </row>
    <row r="518">
      <c r="D518" s="118"/>
    </row>
    <row r="519">
      <c r="D519" s="118"/>
    </row>
    <row r="520">
      <c r="D520" s="118"/>
    </row>
    <row r="521">
      <c r="D521" s="118"/>
    </row>
    <row r="522">
      <c r="D522" s="118"/>
    </row>
    <row r="523">
      <c r="D523" s="118"/>
    </row>
    <row r="524">
      <c r="D524" s="118"/>
    </row>
    <row r="525">
      <c r="D525" s="118"/>
    </row>
    <row r="526">
      <c r="D526" s="118"/>
    </row>
    <row r="527">
      <c r="D527" s="118"/>
    </row>
    <row r="528">
      <c r="D528" s="118"/>
    </row>
    <row r="529">
      <c r="D529" s="118"/>
    </row>
    <row r="530">
      <c r="D530" s="118"/>
    </row>
    <row r="531">
      <c r="D531" s="118"/>
    </row>
    <row r="532">
      <c r="D532" s="118"/>
    </row>
    <row r="533">
      <c r="D533" s="118"/>
    </row>
    <row r="534">
      <c r="D534" s="118"/>
    </row>
    <row r="535">
      <c r="D535" s="118"/>
    </row>
    <row r="536">
      <c r="D536" s="118"/>
    </row>
    <row r="537">
      <c r="D537" s="118"/>
    </row>
    <row r="538">
      <c r="D538" s="118"/>
    </row>
    <row r="539">
      <c r="D539" s="118"/>
    </row>
    <row r="540">
      <c r="D540" s="118"/>
    </row>
    <row r="541">
      <c r="D541" s="118"/>
    </row>
    <row r="542">
      <c r="D542" s="118"/>
    </row>
    <row r="543">
      <c r="D543" s="118"/>
    </row>
    <row r="544">
      <c r="D544" s="118"/>
    </row>
    <row r="545">
      <c r="D545" s="118"/>
    </row>
    <row r="546">
      <c r="D546" s="118"/>
    </row>
    <row r="547">
      <c r="D547" s="118"/>
    </row>
    <row r="548">
      <c r="D548" s="118"/>
    </row>
    <row r="549">
      <c r="D549" s="118"/>
    </row>
    <row r="550">
      <c r="D550" s="118"/>
    </row>
    <row r="551">
      <c r="D551" s="118"/>
    </row>
    <row r="552">
      <c r="D552" s="118"/>
    </row>
    <row r="553">
      <c r="D553" s="118"/>
    </row>
    <row r="554">
      <c r="D554" s="118"/>
    </row>
    <row r="555">
      <c r="D555" s="118"/>
    </row>
    <row r="556">
      <c r="D556" s="118"/>
    </row>
    <row r="557">
      <c r="D557" s="118"/>
    </row>
    <row r="558">
      <c r="D558" s="118"/>
    </row>
    <row r="559">
      <c r="D559" s="118"/>
    </row>
    <row r="560">
      <c r="D560" s="118"/>
    </row>
    <row r="561">
      <c r="D561" s="118"/>
    </row>
    <row r="562">
      <c r="D562" s="118"/>
    </row>
    <row r="563">
      <c r="D563" s="118"/>
    </row>
    <row r="564">
      <c r="D564" s="118"/>
    </row>
    <row r="565">
      <c r="D565" s="118"/>
    </row>
    <row r="566">
      <c r="D566" s="118"/>
    </row>
    <row r="567">
      <c r="D567" s="118"/>
    </row>
    <row r="568">
      <c r="D568" s="118"/>
    </row>
    <row r="569">
      <c r="D569" s="118"/>
    </row>
    <row r="570">
      <c r="D570" s="118"/>
    </row>
    <row r="571">
      <c r="D571" s="118"/>
    </row>
    <row r="572">
      <c r="D572" s="118"/>
    </row>
    <row r="573">
      <c r="D573" s="118"/>
    </row>
    <row r="574">
      <c r="D574" s="118"/>
    </row>
    <row r="575">
      <c r="D575" s="118"/>
    </row>
    <row r="576">
      <c r="D576" s="118"/>
    </row>
    <row r="577">
      <c r="D577" s="118"/>
    </row>
    <row r="578">
      <c r="D578" s="118"/>
    </row>
    <row r="579">
      <c r="D579" s="118"/>
    </row>
    <row r="580">
      <c r="D580" s="118"/>
    </row>
    <row r="581">
      <c r="D581" s="118"/>
    </row>
    <row r="582">
      <c r="D582" s="118"/>
    </row>
    <row r="583">
      <c r="D583" s="118"/>
    </row>
    <row r="584">
      <c r="D584" s="118"/>
    </row>
    <row r="585">
      <c r="D585" s="118"/>
    </row>
    <row r="586">
      <c r="D586" s="118"/>
    </row>
    <row r="587">
      <c r="D587" s="118"/>
    </row>
    <row r="588">
      <c r="D588" s="118"/>
    </row>
    <row r="589">
      <c r="D589" s="118"/>
    </row>
    <row r="590">
      <c r="D590" s="118"/>
    </row>
    <row r="591">
      <c r="D591" s="118"/>
    </row>
    <row r="592">
      <c r="D592" s="118"/>
    </row>
    <row r="593">
      <c r="D593" s="118"/>
    </row>
    <row r="594">
      <c r="D594" s="118"/>
    </row>
    <row r="595">
      <c r="D595" s="118"/>
    </row>
    <row r="596">
      <c r="D596" s="118"/>
    </row>
    <row r="597">
      <c r="D597" s="118"/>
    </row>
    <row r="598">
      <c r="D598" s="118"/>
    </row>
    <row r="599">
      <c r="D599" s="118"/>
    </row>
    <row r="600">
      <c r="D600" s="118"/>
    </row>
    <row r="601">
      <c r="D601" s="118"/>
    </row>
    <row r="602">
      <c r="D602" s="118"/>
    </row>
    <row r="603">
      <c r="D603" s="118"/>
    </row>
    <row r="604">
      <c r="D604" s="118"/>
    </row>
    <row r="605">
      <c r="D605" s="118"/>
    </row>
    <row r="606">
      <c r="D606" s="118"/>
    </row>
    <row r="607">
      <c r="D607" s="118"/>
    </row>
    <row r="608">
      <c r="D608" s="118"/>
    </row>
    <row r="609">
      <c r="D609" s="118"/>
    </row>
    <row r="610">
      <c r="D610" s="118"/>
    </row>
    <row r="611">
      <c r="D611" s="118"/>
    </row>
    <row r="612">
      <c r="D612" s="118"/>
    </row>
    <row r="613">
      <c r="D613" s="118"/>
    </row>
    <row r="614">
      <c r="D614" s="118"/>
    </row>
    <row r="615">
      <c r="D615" s="118"/>
    </row>
    <row r="616">
      <c r="D616" s="118"/>
    </row>
    <row r="617">
      <c r="D617" s="118"/>
    </row>
    <row r="618">
      <c r="D618" s="118"/>
    </row>
    <row r="619">
      <c r="D619" s="118"/>
    </row>
    <row r="620">
      <c r="D620" s="118"/>
    </row>
    <row r="621">
      <c r="D621" s="118"/>
    </row>
    <row r="622">
      <c r="D622" s="118"/>
    </row>
    <row r="623">
      <c r="D623" s="118"/>
    </row>
    <row r="624">
      <c r="D624" s="118"/>
    </row>
    <row r="625">
      <c r="D625" s="118"/>
    </row>
    <row r="626">
      <c r="D626" s="118"/>
    </row>
    <row r="627">
      <c r="D627" s="118"/>
    </row>
    <row r="628">
      <c r="D628" s="118"/>
    </row>
    <row r="629">
      <c r="D629" s="118"/>
    </row>
    <row r="630">
      <c r="D630" s="118"/>
    </row>
    <row r="631">
      <c r="D631" s="118"/>
    </row>
    <row r="632">
      <c r="D632" s="118"/>
    </row>
    <row r="633">
      <c r="D633" s="118"/>
    </row>
    <row r="634">
      <c r="D634" s="118"/>
    </row>
    <row r="635">
      <c r="D635" s="118"/>
    </row>
    <row r="636">
      <c r="D636" s="118"/>
    </row>
    <row r="637">
      <c r="D637" s="118"/>
    </row>
    <row r="638">
      <c r="D638" s="118"/>
    </row>
    <row r="639">
      <c r="D639" s="118"/>
    </row>
    <row r="640">
      <c r="D640" s="118"/>
    </row>
    <row r="641">
      <c r="D641" s="118"/>
    </row>
    <row r="642">
      <c r="D642" s="118"/>
    </row>
    <row r="643">
      <c r="D643" s="118"/>
    </row>
    <row r="644">
      <c r="D644" s="118"/>
    </row>
    <row r="645">
      <c r="D645" s="118"/>
    </row>
    <row r="646">
      <c r="D646" s="118"/>
    </row>
    <row r="647">
      <c r="D647" s="118"/>
    </row>
    <row r="648">
      <c r="D648" s="118"/>
    </row>
    <row r="649">
      <c r="D649" s="118"/>
    </row>
    <row r="650">
      <c r="D650" s="118"/>
    </row>
    <row r="651">
      <c r="D651" s="118"/>
    </row>
    <row r="652">
      <c r="D652" s="118"/>
    </row>
    <row r="653">
      <c r="D653" s="118"/>
    </row>
    <row r="654">
      <c r="D654" s="118"/>
    </row>
    <row r="655">
      <c r="D655" s="118"/>
    </row>
    <row r="656">
      <c r="D656" s="118"/>
    </row>
    <row r="657">
      <c r="D657" s="118"/>
    </row>
    <row r="658">
      <c r="D658" s="118"/>
    </row>
    <row r="659">
      <c r="D659" s="118"/>
    </row>
    <row r="660">
      <c r="D660" s="118"/>
    </row>
    <row r="661">
      <c r="D661" s="118"/>
    </row>
    <row r="662">
      <c r="D662" s="118"/>
    </row>
    <row r="663">
      <c r="D663" s="118"/>
    </row>
    <row r="664">
      <c r="D664" s="118"/>
    </row>
    <row r="665">
      <c r="D665" s="118"/>
    </row>
    <row r="666">
      <c r="D666" s="118"/>
    </row>
    <row r="667">
      <c r="D667" s="118"/>
    </row>
    <row r="668">
      <c r="D668" s="118"/>
    </row>
    <row r="669">
      <c r="D669" s="118"/>
    </row>
    <row r="670">
      <c r="D670" s="118"/>
    </row>
    <row r="671">
      <c r="D671" s="118"/>
    </row>
    <row r="672">
      <c r="D672" s="118"/>
    </row>
    <row r="673">
      <c r="D673" s="118"/>
    </row>
    <row r="674">
      <c r="D674" s="118"/>
    </row>
    <row r="675">
      <c r="D675" s="118"/>
    </row>
    <row r="676">
      <c r="D676" s="118"/>
    </row>
    <row r="677">
      <c r="D677" s="118"/>
    </row>
    <row r="678">
      <c r="D678" s="118"/>
    </row>
    <row r="679">
      <c r="D679" s="118"/>
    </row>
    <row r="680">
      <c r="D680" s="118"/>
    </row>
    <row r="681">
      <c r="D681" s="118"/>
    </row>
    <row r="682">
      <c r="D682" s="118"/>
    </row>
    <row r="683">
      <c r="D683" s="118"/>
    </row>
    <row r="684">
      <c r="D684" s="118"/>
    </row>
    <row r="685">
      <c r="D685" s="118"/>
    </row>
    <row r="686">
      <c r="D686" s="118"/>
    </row>
    <row r="687">
      <c r="D687" s="118"/>
    </row>
    <row r="688">
      <c r="D688" s="118"/>
    </row>
    <row r="689">
      <c r="D689" s="118"/>
    </row>
    <row r="690">
      <c r="D690" s="118"/>
    </row>
    <row r="691">
      <c r="D691" s="118"/>
    </row>
    <row r="692">
      <c r="D692" s="118"/>
    </row>
    <row r="693">
      <c r="D693" s="118"/>
    </row>
    <row r="694">
      <c r="D694" s="118"/>
    </row>
    <row r="695">
      <c r="D695" s="118"/>
    </row>
    <row r="696">
      <c r="D696" s="118"/>
    </row>
    <row r="697">
      <c r="D697" s="118"/>
    </row>
    <row r="698">
      <c r="D698" s="118"/>
    </row>
    <row r="699">
      <c r="D699" s="118"/>
    </row>
    <row r="700">
      <c r="D700" s="118"/>
    </row>
    <row r="701">
      <c r="D701" s="118"/>
    </row>
    <row r="702">
      <c r="D702" s="118"/>
    </row>
    <row r="703">
      <c r="D703" s="118"/>
    </row>
    <row r="704">
      <c r="D704" s="118"/>
    </row>
    <row r="705">
      <c r="D705" s="118"/>
    </row>
    <row r="706">
      <c r="D706" s="118"/>
    </row>
    <row r="707">
      <c r="D707" s="118"/>
    </row>
    <row r="708">
      <c r="D708" s="118"/>
    </row>
    <row r="709">
      <c r="D709" s="118"/>
    </row>
    <row r="710">
      <c r="D710" s="118"/>
    </row>
    <row r="711">
      <c r="D711" s="118"/>
    </row>
    <row r="712">
      <c r="D712" s="118"/>
    </row>
    <row r="713">
      <c r="D713" s="118"/>
    </row>
    <row r="714">
      <c r="D714" s="118"/>
    </row>
    <row r="715">
      <c r="D715" s="118"/>
    </row>
    <row r="716">
      <c r="D716" s="118"/>
    </row>
    <row r="717">
      <c r="D717" s="118"/>
    </row>
    <row r="718">
      <c r="D718" s="118"/>
    </row>
    <row r="719">
      <c r="D719" s="118"/>
    </row>
    <row r="720">
      <c r="D720" s="118"/>
    </row>
    <row r="721">
      <c r="D721" s="118"/>
    </row>
    <row r="722">
      <c r="D722" s="118"/>
    </row>
    <row r="723">
      <c r="D723" s="118"/>
    </row>
    <row r="724">
      <c r="D724" s="118"/>
    </row>
    <row r="725">
      <c r="D725" s="118"/>
    </row>
    <row r="726">
      <c r="D726" s="118"/>
    </row>
    <row r="727">
      <c r="D727" s="118"/>
    </row>
    <row r="728">
      <c r="D728" s="118"/>
    </row>
    <row r="729">
      <c r="D729" s="118"/>
    </row>
    <row r="730">
      <c r="D730" s="118"/>
    </row>
    <row r="731">
      <c r="D731" s="118"/>
    </row>
    <row r="732">
      <c r="D732" s="118"/>
    </row>
    <row r="733">
      <c r="D733" s="118"/>
    </row>
    <row r="734">
      <c r="D734" s="118"/>
    </row>
    <row r="735">
      <c r="D735" s="118"/>
    </row>
    <row r="736">
      <c r="D736" s="118"/>
    </row>
    <row r="737">
      <c r="D737" s="118"/>
    </row>
    <row r="738">
      <c r="D738" s="118"/>
    </row>
    <row r="739">
      <c r="D739" s="118"/>
    </row>
    <row r="740">
      <c r="D740" s="118"/>
    </row>
    <row r="741">
      <c r="D741" s="118"/>
    </row>
    <row r="742">
      <c r="D742" s="118"/>
    </row>
    <row r="743">
      <c r="D743" s="118"/>
    </row>
    <row r="744">
      <c r="D744" s="118"/>
    </row>
    <row r="745">
      <c r="D745" s="118"/>
    </row>
    <row r="746">
      <c r="D746" s="118"/>
    </row>
    <row r="747">
      <c r="D747" s="118"/>
    </row>
    <row r="748">
      <c r="D748" s="118"/>
    </row>
    <row r="749">
      <c r="D749" s="118"/>
    </row>
    <row r="750">
      <c r="D750" s="118"/>
    </row>
    <row r="751">
      <c r="D751" s="118"/>
    </row>
    <row r="752">
      <c r="D752" s="118"/>
    </row>
    <row r="753">
      <c r="D753" s="118"/>
    </row>
    <row r="754">
      <c r="D754" s="118"/>
    </row>
    <row r="755">
      <c r="D755" s="118"/>
    </row>
    <row r="756">
      <c r="D756" s="118"/>
    </row>
    <row r="757">
      <c r="D757" s="118"/>
    </row>
    <row r="758">
      <c r="D758" s="118"/>
    </row>
    <row r="759">
      <c r="D759" s="118"/>
    </row>
    <row r="760">
      <c r="D760" s="118"/>
    </row>
    <row r="761">
      <c r="D761" s="118"/>
    </row>
    <row r="762">
      <c r="D762" s="118"/>
    </row>
    <row r="763">
      <c r="D763" s="118"/>
    </row>
    <row r="764">
      <c r="D764" s="118"/>
    </row>
    <row r="765">
      <c r="D765" s="118"/>
    </row>
    <row r="766">
      <c r="D766" s="118"/>
    </row>
    <row r="767">
      <c r="D767" s="118"/>
    </row>
    <row r="768">
      <c r="D768" s="118"/>
    </row>
    <row r="769">
      <c r="D769" s="118"/>
    </row>
    <row r="770">
      <c r="D770" s="118"/>
    </row>
    <row r="771">
      <c r="D771" s="118"/>
    </row>
    <row r="772">
      <c r="D772" s="118"/>
    </row>
    <row r="773">
      <c r="D773" s="118"/>
    </row>
    <row r="774">
      <c r="D774" s="118"/>
    </row>
    <row r="775">
      <c r="D775" s="118"/>
    </row>
    <row r="776">
      <c r="D776" s="118"/>
    </row>
    <row r="777">
      <c r="D777" s="118"/>
    </row>
    <row r="778">
      <c r="D778" s="118"/>
    </row>
    <row r="779">
      <c r="D779" s="118"/>
    </row>
    <row r="780">
      <c r="D780" s="118"/>
    </row>
    <row r="781">
      <c r="D781" s="118"/>
    </row>
    <row r="782">
      <c r="D782" s="118"/>
    </row>
    <row r="783">
      <c r="D783" s="118"/>
    </row>
    <row r="784">
      <c r="D784" s="118"/>
    </row>
    <row r="785">
      <c r="D785" s="118"/>
    </row>
    <row r="786">
      <c r="D786" s="118"/>
    </row>
    <row r="787">
      <c r="D787" s="118"/>
    </row>
    <row r="788">
      <c r="D788" s="118"/>
    </row>
    <row r="789">
      <c r="D789" s="118"/>
    </row>
    <row r="790">
      <c r="D790" s="118"/>
    </row>
    <row r="791">
      <c r="D791" s="118"/>
    </row>
    <row r="792">
      <c r="D792" s="118"/>
    </row>
    <row r="793">
      <c r="D793" s="118"/>
    </row>
    <row r="794">
      <c r="D794" s="118"/>
    </row>
    <row r="795">
      <c r="D795" s="118"/>
    </row>
    <row r="796">
      <c r="D796" s="118"/>
    </row>
    <row r="797">
      <c r="D797" s="118"/>
    </row>
    <row r="798">
      <c r="D798" s="118"/>
    </row>
    <row r="799">
      <c r="D799" s="118"/>
    </row>
    <row r="800">
      <c r="D800" s="118"/>
    </row>
    <row r="801">
      <c r="D801" s="118"/>
    </row>
    <row r="802">
      <c r="D802" s="118"/>
    </row>
    <row r="803">
      <c r="D803" s="118"/>
    </row>
    <row r="804">
      <c r="D804" s="118"/>
    </row>
    <row r="805">
      <c r="D805" s="118"/>
    </row>
    <row r="806">
      <c r="D806" s="118"/>
    </row>
    <row r="807">
      <c r="D807" s="118"/>
    </row>
    <row r="808">
      <c r="D808" s="118"/>
    </row>
    <row r="809">
      <c r="D809" s="118"/>
    </row>
    <row r="810">
      <c r="D810" s="118"/>
    </row>
    <row r="811">
      <c r="D811" s="118"/>
    </row>
    <row r="812">
      <c r="D812" s="118"/>
    </row>
    <row r="813">
      <c r="D813" s="118"/>
    </row>
    <row r="814">
      <c r="D814" s="118"/>
    </row>
    <row r="815">
      <c r="D815" s="118"/>
    </row>
    <row r="816">
      <c r="D816" s="118"/>
    </row>
    <row r="817">
      <c r="D817" s="118"/>
    </row>
    <row r="818">
      <c r="D818" s="118"/>
    </row>
    <row r="819">
      <c r="D819" s="118"/>
    </row>
    <row r="820">
      <c r="D820" s="118"/>
    </row>
    <row r="821">
      <c r="D821" s="118"/>
    </row>
    <row r="822">
      <c r="D822" s="118"/>
    </row>
    <row r="823">
      <c r="D823" s="118"/>
    </row>
    <row r="824">
      <c r="D824" s="118"/>
    </row>
    <row r="825">
      <c r="D825" s="118"/>
    </row>
    <row r="826">
      <c r="D826" s="118"/>
    </row>
    <row r="827">
      <c r="D827" s="118"/>
    </row>
    <row r="828">
      <c r="D828" s="118"/>
    </row>
    <row r="829">
      <c r="D829" s="118"/>
    </row>
    <row r="830">
      <c r="D830" s="118"/>
    </row>
    <row r="831">
      <c r="D831" s="118"/>
    </row>
    <row r="832">
      <c r="D832" s="118"/>
    </row>
    <row r="833">
      <c r="D833" s="118"/>
    </row>
    <row r="834">
      <c r="D834" s="118"/>
    </row>
    <row r="835">
      <c r="D835" s="118"/>
    </row>
    <row r="836">
      <c r="D836" s="118"/>
    </row>
    <row r="837">
      <c r="D837" s="118"/>
    </row>
    <row r="838">
      <c r="D838" s="118"/>
    </row>
    <row r="839">
      <c r="D839" s="118"/>
    </row>
    <row r="840">
      <c r="D840" s="118"/>
    </row>
    <row r="841">
      <c r="D841" s="118"/>
    </row>
    <row r="842">
      <c r="D842" s="118"/>
    </row>
    <row r="843">
      <c r="D843" s="118"/>
    </row>
    <row r="844">
      <c r="D844" s="118"/>
    </row>
    <row r="845">
      <c r="D845" s="118"/>
    </row>
    <row r="846">
      <c r="D846" s="118"/>
    </row>
    <row r="847">
      <c r="D847" s="118"/>
    </row>
    <row r="848">
      <c r="D848" s="118"/>
    </row>
    <row r="849">
      <c r="D849" s="118"/>
    </row>
    <row r="850">
      <c r="D850" s="118"/>
    </row>
    <row r="851">
      <c r="D851" s="118"/>
    </row>
    <row r="852">
      <c r="D852" s="118"/>
    </row>
    <row r="853">
      <c r="D853" s="118"/>
    </row>
    <row r="854">
      <c r="D854" s="118"/>
    </row>
    <row r="855">
      <c r="D855" s="118"/>
    </row>
    <row r="856">
      <c r="D856" s="118"/>
    </row>
    <row r="857">
      <c r="D857" s="118"/>
    </row>
    <row r="858">
      <c r="D858" s="118"/>
    </row>
    <row r="859">
      <c r="D859" s="118"/>
    </row>
    <row r="860">
      <c r="D860" s="118"/>
    </row>
    <row r="861">
      <c r="D861" s="118"/>
    </row>
    <row r="862">
      <c r="D862" s="118"/>
    </row>
    <row r="863">
      <c r="D863" s="118"/>
    </row>
    <row r="864">
      <c r="D864" s="118"/>
    </row>
    <row r="865">
      <c r="D865" s="118"/>
    </row>
    <row r="866">
      <c r="D866" s="118"/>
    </row>
    <row r="867">
      <c r="D867" s="118"/>
    </row>
    <row r="868">
      <c r="D868" s="118"/>
    </row>
    <row r="869">
      <c r="D869" s="118"/>
    </row>
    <row r="870">
      <c r="D870" s="118"/>
    </row>
    <row r="871">
      <c r="D871" s="118"/>
    </row>
    <row r="872">
      <c r="D872" s="118"/>
    </row>
    <row r="873">
      <c r="D873" s="118"/>
    </row>
    <row r="874">
      <c r="D874" s="118"/>
    </row>
    <row r="875">
      <c r="D875" s="118"/>
    </row>
    <row r="876">
      <c r="D876" s="118"/>
    </row>
    <row r="877">
      <c r="D877" s="118"/>
    </row>
    <row r="878">
      <c r="D878" s="118"/>
    </row>
    <row r="879">
      <c r="D879" s="118"/>
    </row>
    <row r="880">
      <c r="D880" s="118"/>
    </row>
    <row r="881">
      <c r="D881" s="118"/>
    </row>
    <row r="882">
      <c r="D882" s="118"/>
    </row>
    <row r="883">
      <c r="D883" s="118"/>
    </row>
    <row r="884">
      <c r="D884" s="118"/>
    </row>
    <row r="885">
      <c r="D885" s="118"/>
    </row>
    <row r="886">
      <c r="D886" s="118"/>
    </row>
    <row r="887">
      <c r="D887" s="118"/>
    </row>
    <row r="888">
      <c r="D888" s="118"/>
    </row>
    <row r="889">
      <c r="D889" s="118"/>
    </row>
    <row r="890">
      <c r="D890" s="118"/>
    </row>
    <row r="891">
      <c r="D891" s="118"/>
    </row>
    <row r="892">
      <c r="D892" s="118"/>
    </row>
    <row r="893">
      <c r="D893" s="118"/>
    </row>
    <row r="894">
      <c r="D894" s="118"/>
    </row>
    <row r="895">
      <c r="D895" s="118"/>
    </row>
    <row r="896">
      <c r="D896" s="118"/>
    </row>
    <row r="897">
      <c r="D897" s="118"/>
    </row>
    <row r="898">
      <c r="D898" s="118"/>
    </row>
    <row r="899">
      <c r="D899" s="118"/>
    </row>
    <row r="900">
      <c r="D900" s="118"/>
    </row>
    <row r="901">
      <c r="D901" s="118"/>
    </row>
    <row r="902">
      <c r="D902" s="118"/>
    </row>
    <row r="903">
      <c r="D903" s="118"/>
    </row>
    <row r="904">
      <c r="D904" s="118"/>
    </row>
    <row r="905">
      <c r="D905" s="118"/>
    </row>
    <row r="906">
      <c r="D906" s="118"/>
    </row>
    <row r="907">
      <c r="D907" s="118"/>
    </row>
    <row r="908">
      <c r="D908" s="118"/>
    </row>
    <row r="909">
      <c r="D909" s="118"/>
    </row>
    <row r="910">
      <c r="D910" s="118"/>
    </row>
    <row r="911">
      <c r="D911" s="118"/>
    </row>
    <row r="912">
      <c r="D912" s="118"/>
    </row>
    <row r="913">
      <c r="D913" s="118"/>
    </row>
    <row r="914">
      <c r="D914" s="118"/>
    </row>
    <row r="915">
      <c r="D915" s="118"/>
    </row>
    <row r="916">
      <c r="D916" s="118"/>
    </row>
    <row r="917">
      <c r="D917" s="118"/>
    </row>
    <row r="918">
      <c r="D918" s="118"/>
    </row>
    <row r="919">
      <c r="D919" s="118"/>
    </row>
    <row r="920">
      <c r="D920" s="118"/>
    </row>
    <row r="921">
      <c r="D921" s="118"/>
    </row>
    <row r="922">
      <c r="D922" s="118"/>
    </row>
    <row r="923">
      <c r="D923" s="118"/>
    </row>
    <row r="924">
      <c r="D924" s="118"/>
    </row>
    <row r="925">
      <c r="D925" s="118"/>
    </row>
    <row r="926">
      <c r="D926" s="118"/>
    </row>
    <row r="927">
      <c r="D927" s="118"/>
    </row>
    <row r="928">
      <c r="D928" s="118"/>
    </row>
    <row r="929">
      <c r="D929" s="118"/>
    </row>
    <row r="930">
      <c r="D930" s="118"/>
    </row>
    <row r="931">
      <c r="D931" s="118"/>
    </row>
    <row r="932">
      <c r="D932" s="118"/>
    </row>
    <row r="933">
      <c r="D933" s="118"/>
    </row>
    <row r="934">
      <c r="D934" s="118"/>
    </row>
    <row r="935">
      <c r="D935" s="118"/>
    </row>
    <row r="936">
      <c r="D936" s="118"/>
    </row>
    <row r="937">
      <c r="D937" s="118"/>
    </row>
    <row r="938">
      <c r="D938" s="118"/>
    </row>
    <row r="939">
      <c r="D939" s="118"/>
    </row>
    <row r="940">
      <c r="D940" s="118"/>
    </row>
    <row r="941">
      <c r="D941" s="118"/>
    </row>
    <row r="942">
      <c r="D942" s="118"/>
    </row>
    <row r="943">
      <c r="D943" s="118"/>
    </row>
    <row r="944">
      <c r="D944" s="118"/>
    </row>
    <row r="945">
      <c r="D945" s="118"/>
    </row>
    <row r="946">
      <c r="D946" s="118"/>
    </row>
    <row r="947">
      <c r="D947" s="118"/>
    </row>
    <row r="948">
      <c r="D948" s="118"/>
    </row>
    <row r="949">
      <c r="D949" s="118"/>
    </row>
    <row r="950">
      <c r="D950" s="118"/>
    </row>
    <row r="951">
      <c r="D951" s="118"/>
    </row>
    <row r="952">
      <c r="D952" s="118"/>
    </row>
    <row r="953">
      <c r="D953" s="118"/>
    </row>
    <row r="954">
      <c r="D954" s="118"/>
    </row>
    <row r="955">
      <c r="D955" s="118"/>
    </row>
    <row r="956">
      <c r="D956" s="118"/>
    </row>
    <row r="957">
      <c r="D957" s="118"/>
    </row>
    <row r="958">
      <c r="D958" s="118"/>
    </row>
    <row r="959">
      <c r="D959" s="118"/>
    </row>
    <row r="960">
      <c r="D960" s="118"/>
    </row>
    <row r="961">
      <c r="D961" s="118"/>
    </row>
    <row r="962">
      <c r="D962" s="118"/>
    </row>
    <row r="963">
      <c r="D963" s="118"/>
    </row>
    <row r="964">
      <c r="D964" s="118"/>
    </row>
    <row r="965">
      <c r="D965" s="118"/>
    </row>
    <row r="966">
      <c r="D966" s="118"/>
    </row>
    <row r="967">
      <c r="D967" s="118"/>
    </row>
    <row r="968">
      <c r="D968" s="118"/>
    </row>
    <row r="969">
      <c r="D969" s="118"/>
    </row>
    <row r="970">
      <c r="D970" s="118"/>
    </row>
    <row r="971">
      <c r="D971" s="118"/>
    </row>
    <row r="972">
      <c r="D972" s="118"/>
    </row>
    <row r="973">
      <c r="D973" s="118"/>
    </row>
    <row r="974">
      <c r="D974" s="118"/>
    </row>
    <row r="975">
      <c r="D975" s="118"/>
    </row>
    <row r="976">
      <c r="D976" s="118"/>
    </row>
    <row r="977">
      <c r="D977" s="118"/>
    </row>
    <row r="978">
      <c r="D978" s="118"/>
    </row>
    <row r="979">
      <c r="D979" s="118"/>
    </row>
    <row r="980">
      <c r="D980" s="118"/>
    </row>
    <row r="981">
      <c r="D981" s="118"/>
    </row>
    <row r="982">
      <c r="D982" s="118"/>
    </row>
    <row r="983">
      <c r="D983" s="118"/>
    </row>
    <row r="984">
      <c r="D984" s="118"/>
    </row>
    <row r="985">
      <c r="D985" s="118"/>
    </row>
    <row r="986">
      <c r="D986" s="118"/>
    </row>
    <row r="987">
      <c r="D987" s="118"/>
    </row>
    <row r="988">
      <c r="D988" s="118"/>
    </row>
    <row r="989">
      <c r="D989" s="118"/>
    </row>
    <row r="990">
      <c r="D990" s="118"/>
    </row>
    <row r="991">
      <c r="D991" s="118"/>
    </row>
    <row r="992">
      <c r="D992" s="118"/>
    </row>
    <row r="993">
      <c r="D993" s="118"/>
    </row>
    <row r="994">
      <c r="D994" s="118"/>
    </row>
    <row r="995">
      <c r="D995" s="118"/>
    </row>
    <row r="996">
      <c r="D996" s="118"/>
    </row>
    <row r="997">
      <c r="D997" s="118"/>
    </row>
    <row r="998">
      <c r="D998" s="118"/>
    </row>
    <row r="999">
      <c r="D999" s="118"/>
    </row>
    <row r="1000">
      <c r="D1000" s="118"/>
    </row>
  </sheetData>
  <mergeCells count="14">
    <mergeCell ref="C7:C8"/>
    <mergeCell ref="D7:D8"/>
    <mergeCell ref="E7:E8"/>
    <mergeCell ref="F7:F8"/>
    <mergeCell ref="AJ6:AN6"/>
    <mergeCell ref="AP8:AR8"/>
    <mergeCell ref="AT8:AV8"/>
    <mergeCell ref="H6:O6"/>
    <mergeCell ref="P6:W6"/>
    <mergeCell ref="X6:AE6"/>
    <mergeCell ref="AF6:AI6"/>
    <mergeCell ref="A7:A8"/>
    <mergeCell ref="B7:B8"/>
    <mergeCell ref="G7:G8"/>
  </mergeCells>
  <conditionalFormatting sqref="I9:Q58">
    <cfRule type="cellIs" dxfId="0" priority="1" operator="equal">
      <formula>0</formula>
    </cfRule>
  </conditionalFormatting>
  <conditionalFormatting sqref="I9:Q58">
    <cfRule type="cellIs" dxfId="1" priority="2" operator="equal">
      <formula>"S"</formula>
    </cfRule>
  </conditionalFormatting>
  <conditionalFormatting sqref="A9:AM58 AN10:AN11 AN26 AN41 AN44">
    <cfRule type="expression" dxfId="2" priority="3">
      <formula>#REF! = "FAIL"</formula>
    </cfRule>
  </conditionalFormatting>
  <conditionalFormatting sqref="H1:AM58 AN7:AN8 A9:D58 AN10:AN11 AN26 AN41 AN44">
    <cfRule type="expression" dxfId="3" priority="4">
      <formula>$G1="BARRED"</formula>
    </cfRule>
  </conditionalFormatting>
  <conditionalFormatting sqref="G8:G58">
    <cfRule type="cellIs" dxfId="4" priority="5" operator="equal">
      <formula>"WARNING"</formula>
    </cfRule>
  </conditionalFormatting>
  <conditionalFormatting sqref="F9:G58">
    <cfRule type="expression" dxfId="2" priority="6">
      <formula> $G9 = "BARRED" </formula>
    </cfRule>
  </conditionalFormatting>
  <conditionalFormatting sqref="F9:G58">
    <cfRule type="expression" dxfId="4" priority="7">
      <formula>$G9 = "WARNING"</formula>
    </cfRule>
  </conditionalFormatting>
  <conditionalFormatting sqref="F9:G58">
    <cfRule type="expression" dxfId="5" priority="8">
      <formula>$G9 = "OKAY"</formula>
    </cfRule>
  </conditionalFormatting>
  <conditionalFormatting sqref="E9:E58">
    <cfRule type="cellIs" dxfId="6" priority="9" operator="equal">
      <formula>"TRUE"</formula>
    </cfRule>
  </conditionalFormatting>
  <conditionalFormatting sqref="E9:E58">
    <cfRule type="cellIs" dxfId="7" priority="10" operator="equal">
      <formula>"FALSE"</formula>
    </cfRule>
  </conditionalFormatting>
  <conditionalFormatting sqref="P9:W45">
    <cfRule type="notContainsBlanks" dxfId="8" priority="11">
      <formula>LEN(TRIM(P9))&gt;0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5.0"/>
    <col customWidth="1" min="3" max="3" width="32.38"/>
    <col customWidth="1" hidden="1" min="4" max="4" width="11.0"/>
    <col customWidth="1" hidden="1" min="5" max="5" width="10.88"/>
    <col customWidth="1" min="6" max="6" width="11.25"/>
    <col customWidth="1" min="7" max="7" width="22.63"/>
    <col hidden="1" min="8" max="10" width="12.63"/>
    <col customWidth="1" min="12" max="12" width="15.63"/>
    <col hidden="1" min="13" max="14" width="12.63"/>
    <col customWidth="1" min="16" max="16" width="21.88"/>
    <col hidden="1" min="17" max="18" width="12.63"/>
    <col customWidth="1" min="20" max="20" width="24.25"/>
    <col hidden="1" min="21" max="22" width="12.63"/>
    <col customWidth="1" min="24" max="24" width="18.38"/>
    <col hidden="1" min="25" max="26" width="12.63"/>
    <col customWidth="1" min="28" max="28" width="18.63"/>
    <col customWidth="1" min="29" max="29" width="11.88"/>
    <col customWidth="1" min="30" max="30" width="12.88"/>
    <col customWidth="1" min="31" max="31" width="14.63"/>
    <col customWidth="1" min="32" max="33" width="18.63"/>
    <col customWidth="1" hidden="1" min="34" max="34" width="14.13"/>
    <col customWidth="1" hidden="1" min="35" max="35" width="12.63"/>
    <col customWidth="1" hidden="1" min="36" max="36" width="14.25"/>
    <col customWidth="1" hidden="1" min="37" max="37" width="16.0"/>
    <col hidden="1" min="38" max="40" width="12.63"/>
    <col customWidth="1" hidden="1" min="41" max="41" width="15.75"/>
    <col hidden="1" min="42" max="44" width="12.63"/>
    <col customWidth="1" hidden="1" min="45" max="45" width="22.38"/>
    <col hidden="1" min="46" max="46" width="12.63"/>
  </cols>
  <sheetData>
    <row r="1">
      <c r="A1" s="18" t="s">
        <v>950</v>
      </c>
      <c r="B1" s="18" t="s">
        <v>951</v>
      </c>
      <c r="C1" s="19" t="s">
        <v>952</v>
      </c>
      <c r="D1" s="119" t="s">
        <v>953</v>
      </c>
      <c r="E1" s="119" t="s">
        <v>954</v>
      </c>
      <c r="F1" s="120" t="s">
        <v>955</v>
      </c>
      <c r="G1" s="119" t="s">
        <v>956</v>
      </c>
      <c r="H1" s="119" t="s">
        <v>957</v>
      </c>
      <c r="I1" s="119" t="s">
        <v>958</v>
      </c>
      <c r="J1" s="119" t="s">
        <v>959</v>
      </c>
      <c r="K1" s="120" t="s">
        <v>960</v>
      </c>
      <c r="L1" s="119" t="s">
        <v>956</v>
      </c>
      <c r="M1" s="119" t="s">
        <v>961</v>
      </c>
      <c r="N1" s="119" t="s">
        <v>962</v>
      </c>
      <c r="O1" s="121" t="s">
        <v>963</v>
      </c>
      <c r="P1" s="122" t="s">
        <v>956</v>
      </c>
      <c r="Q1" s="123" t="s">
        <v>964</v>
      </c>
      <c r="R1" s="123" t="s">
        <v>965</v>
      </c>
      <c r="S1" s="121" t="s">
        <v>966</v>
      </c>
      <c r="T1" s="122" t="s">
        <v>956</v>
      </c>
      <c r="U1" s="124" t="s">
        <v>967</v>
      </c>
      <c r="V1" s="124" t="s">
        <v>968</v>
      </c>
      <c r="W1" s="125" t="s">
        <v>969</v>
      </c>
      <c r="X1" s="122" t="s">
        <v>956</v>
      </c>
      <c r="Y1" s="124" t="s">
        <v>970</v>
      </c>
      <c r="Z1" s="124" t="s">
        <v>971</v>
      </c>
      <c r="AA1" s="125" t="s">
        <v>972</v>
      </c>
      <c r="AB1" s="126" t="s">
        <v>956</v>
      </c>
      <c r="AC1" s="119" t="s">
        <v>973</v>
      </c>
      <c r="AD1" s="119" t="s">
        <v>974</v>
      </c>
      <c r="AE1" s="120" t="s">
        <v>975</v>
      </c>
      <c r="AF1" s="126" t="s">
        <v>956</v>
      </c>
      <c r="AG1" s="124"/>
      <c r="AH1" s="124" t="s">
        <v>971</v>
      </c>
      <c r="AI1" s="125" t="s">
        <v>972</v>
      </c>
      <c r="AJ1" s="126" t="s">
        <v>956</v>
      </c>
      <c r="AK1" s="126" t="s">
        <v>956</v>
      </c>
      <c r="AL1" s="124" t="s">
        <v>976</v>
      </c>
      <c r="AM1" s="124" t="s">
        <v>977</v>
      </c>
      <c r="AN1" s="125" t="s">
        <v>978</v>
      </c>
      <c r="AO1" s="127" t="s">
        <v>956</v>
      </c>
      <c r="AP1" s="124" t="s">
        <v>979</v>
      </c>
      <c r="AQ1" s="119" t="s">
        <v>980</v>
      </c>
      <c r="AR1" s="125" t="s">
        <v>981</v>
      </c>
      <c r="AS1" s="127" t="s">
        <v>956</v>
      </c>
      <c r="AT1" s="127"/>
    </row>
    <row r="2">
      <c r="A2" s="46"/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</row>
    <row r="3">
      <c r="A3" s="78">
        <v>1.0</v>
      </c>
      <c r="B3" s="78" t="s">
        <v>982</v>
      </c>
      <c r="C3" s="79" t="s">
        <v>983</v>
      </c>
      <c r="D3" s="102">
        <v>0.8</v>
      </c>
      <c r="E3" s="128">
        <v>4.0</v>
      </c>
      <c r="F3" s="129">
        <f t="shared" ref="F3:F39" si="1">sum(D3:E3)</f>
        <v>4.8</v>
      </c>
      <c r="G3" s="130"/>
      <c r="H3" s="102"/>
      <c r="I3" s="102"/>
      <c r="J3" s="78"/>
      <c r="K3" s="129">
        <v>3.33</v>
      </c>
      <c r="L3" s="131"/>
      <c r="M3" s="132"/>
      <c r="N3" s="132">
        <v>4.0</v>
      </c>
      <c r="O3" s="133">
        <f t="shared" ref="O3:O39" si="2">round(sum(M3:N3)/6*5,2)</f>
        <v>3.33</v>
      </c>
      <c r="P3" s="134" t="s">
        <v>984</v>
      </c>
      <c r="Q3" s="135"/>
      <c r="R3" s="136"/>
      <c r="S3" s="137">
        <f t="shared" ref="S3:S39" si="3">round(sum(Q3:R3)/6*5,2)</f>
        <v>0</v>
      </c>
      <c r="T3" s="138" t="s">
        <v>985</v>
      </c>
      <c r="U3" s="139"/>
      <c r="V3" s="139"/>
      <c r="W3" s="133">
        <v>2.85</v>
      </c>
      <c r="X3" s="140"/>
      <c r="Y3" s="139"/>
      <c r="Z3" s="141">
        <v>5.0</v>
      </c>
      <c r="AA3" s="142">
        <f t="shared" ref="AA3:AA39" si="4">round(sum(Y3:Z3)/6*5,2)</f>
        <v>4.17</v>
      </c>
      <c r="AB3" s="143"/>
      <c r="AC3" s="143"/>
      <c r="AD3" s="143"/>
      <c r="AE3" s="143">
        <f t="shared" ref="AE3:AE39" si="5">round(sum(AC3:AD3)/6*5,2)</f>
        <v>0</v>
      </c>
      <c r="AF3" s="143"/>
      <c r="AG3" s="143"/>
      <c r="AH3" s="144"/>
      <c r="AI3" s="144"/>
      <c r="AJ3" s="145"/>
      <c r="AK3" s="143"/>
      <c r="AL3" s="134"/>
      <c r="AM3" s="134"/>
      <c r="AN3" s="146"/>
      <c r="AO3" s="143"/>
      <c r="AP3" s="147"/>
      <c r="AQ3" s="134"/>
      <c r="AR3" s="148"/>
      <c r="AS3" s="147"/>
      <c r="AT3" s="147"/>
    </row>
    <row r="4">
      <c r="A4" s="78">
        <v>2.0</v>
      </c>
      <c r="B4" s="78" t="s">
        <v>986</v>
      </c>
      <c r="C4" s="79" t="s">
        <v>987</v>
      </c>
      <c r="D4" s="102">
        <v>0.8</v>
      </c>
      <c r="E4" s="149"/>
      <c r="F4" s="129">
        <f t="shared" si="1"/>
        <v>0.8</v>
      </c>
      <c r="G4" s="138" t="s">
        <v>988</v>
      </c>
      <c r="H4" s="78"/>
      <c r="I4" s="78"/>
      <c r="J4" s="78"/>
      <c r="K4" s="129"/>
      <c r="L4" s="131"/>
      <c r="M4" s="150"/>
      <c r="N4" s="150"/>
      <c r="O4" s="133">
        <f t="shared" si="2"/>
        <v>0</v>
      </c>
      <c r="P4" s="134" t="s">
        <v>985</v>
      </c>
      <c r="Q4" s="135"/>
      <c r="R4" s="135"/>
      <c r="S4" s="137">
        <f t="shared" si="3"/>
        <v>0</v>
      </c>
      <c r="T4" s="138" t="s">
        <v>985</v>
      </c>
      <c r="U4" s="139"/>
      <c r="V4" s="139"/>
      <c r="W4" s="133"/>
      <c r="X4" s="140"/>
      <c r="Y4" s="139"/>
      <c r="Z4" s="139"/>
      <c r="AA4" s="142">
        <f t="shared" si="4"/>
        <v>0</v>
      </c>
      <c r="AB4" s="143" t="s">
        <v>985</v>
      </c>
      <c r="AC4" s="143"/>
      <c r="AD4" s="143"/>
      <c r="AE4" s="143">
        <f t="shared" si="5"/>
        <v>0</v>
      </c>
      <c r="AF4" s="143"/>
      <c r="AG4" s="143"/>
      <c r="AH4" s="143"/>
      <c r="AI4" s="143"/>
      <c r="AJ4" s="146"/>
      <c r="AK4" s="143"/>
      <c r="AL4" s="134"/>
      <c r="AM4" s="134"/>
      <c r="AN4" s="146"/>
      <c r="AO4" s="143"/>
      <c r="AP4" s="147"/>
      <c r="AQ4" s="134"/>
      <c r="AR4" s="148"/>
      <c r="AS4" s="147"/>
      <c r="AT4" s="147"/>
    </row>
    <row r="5">
      <c r="A5" s="78">
        <v>3.0</v>
      </c>
      <c r="B5" s="78" t="s">
        <v>989</v>
      </c>
      <c r="C5" s="79" t="s">
        <v>990</v>
      </c>
      <c r="D5" s="102"/>
      <c r="E5" s="149"/>
      <c r="F5" s="129">
        <f t="shared" si="1"/>
        <v>0</v>
      </c>
      <c r="G5" s="138" t="s">
        <v>991</v>
      </c>
      <c r="H5" s="102"/>
      <c r="I5" s="78"/>
      <c r="J5" s="78"/>
      <c r="K5" s="129"/>
      <c r="L5" s="131"/>
      <c r="M5" s="150"/>
      <c r="N5" s="132"/>
      <c r="O5" s="133">
        <f t="shared" si="2"/>
        <v>0</v>
      </c>
      <c r="P5" s="134" t="s">
        <v>985</v>
      </c>
      <c r="Q5" s="136"/>
      <c r="R5" s="135"/>
      <c r="S5" s="137">
        <f t="shared" si="3"/>
        <v>0</v>
      </c>
      <c r="T5" s="138" t="s">
        <v>985</v>
      </c>
      <c r="U5" s="139"/>
      <c r="V5" s="139"/>
      <c r="W5" s="133"/>
      <c r="X5" s="140"/>
      <c r="Y5" s="139"/>
      <c r="Z5" s="139"/>
      <c r="AA5" s="142">
        <f t="shared" si="4"/>
        <v>0</v>
      </c>
      <c r="AB5" s="143" t="s">
        <v>985</v>
      </c>
      <c r="AC5" s="143"/>
      <c r="AD5" s="143"/>
      <c r="AE5" s="143">
        <f t="shared" si="5"/>
        <v>0</v>
      </c>
      <c r="AF5" s="143"/>
      <c r="AG5" s="143"/>
      <c r="AH5" s="143"/>
      <c r="AI5" s="143"/>
      <c r="AJ5" s="146"/>
      <c r="AK5" s="143"/>
      <c r="AL5" s="134"/>
      <c r="AM5" s="134"/>
      <c r="AN5" s="146"/>
      <c r="AO5" s="143"/>
      <c r="AP5" s="147"/>
      <c r="AQ5" s="134"/>
      <c r="AR5" s="148"/>
      <c r="AS5" s="147"/>
      <c r="AT5" s="147"/>
    </row>
    <row r="6">
      <c r="A6" s="78">
        <v>4.0</v>
      </c>
      <c r="B6" s="78" t="s">
        <v>992</v>
      </c>
      <c r="C6" s="79" t="s">
        <v>993</v>
      </c>
      <c r="D6" s="102">
        <v>0.0</v>
      </c>
      <c r="E6" s="128">
        <v>4.0</v>
      </c>
      <c r="F6" s="129">
        <f t="shared" si="1"/>
        <v>4</v>
      </c>
      <c r="G6" s="138" t="s">
        <v>994</v>
      </c>
      <c r="H6" s="78"/>
      <c r="I6" s="78"/>
      <c r="J6" s="78"/>
      <c r="K6" s="129">
        <v>5.0</v>
      </c>
      <c r="L6" s="131"/>
      <c r="M6" s="132">
        <v>2.0</v>
      </c>
      <c r="N6" s="132">
        <v>4.0</v>
      </c>
      <c r="O6" s="133">
        <f t="shared" si="2"/>
        <v>5</v>
      </c>
      <c r="P6" s="134"/>
      <c r="Q6" s="136">
        <v>2.0</v>
      </c>
      <c r="R6" s="136">
        <v>4.0</v>
      </c>
      <c r="S6" s="137">
        <f t="shared" si="3"/>
        <v>5</v>
      </c>
      <c r="T6" s="138"/>
      <c r="U6" s="139"/>
      <c r="V6" s="139"/>
      <c r="W6" s="133">
        <v>5.0</v>
      </c>
      <c r="X6" s="140"/>
      <c r="Y6" s="141">
        <v>1.0</v>
      </c>
      <c r="Z6" s="141">
        <v>5.0</v>
      </c>
      <c r="AA6" s="142">
        <f t="shared" si="4"/>
        <v>5</v>
      </c>
      <c r="AB6" s="143"/>
      <c r="AC6" s="143">
        <v>1.0</v>
      </c>
      <c r="AD6" s="143">
        <v>5.0</v>
      </c>
      <c r="AE6" s="143">
        <f t="shared" si="5"/>
        <v>5</v>
      </c>
      <c r="AF6" s="143"/>
      <c r="AG6" s="143"/>
      <c r="AH6" s="143"/>
      <c r="AI6" s="143"/>
      <c r="AJ6" s="146"/>
      <c r="AK6" s="143"/>
      <c r="AL6" s="134"/>
      <c r="AM6" s="134"/>
      <c r="AN6" s="146"/>
      <c r="AO6" s="143"/>
      <c r="AP6" s="147"/>
      <c r="AQ6" s="134"/>
      <c r="AR6" s="148"/>
      <c r="AS6" s="147"/>
      <c r="AT6" s="147"/>
    </row>
    <row r="7">
      <c r="A7" s="78">
        <v>5.0</v>
      </c>
      <c r="B7" s="78" t="s">
        <v>995</v>
      </c>
      <c r="C7" s="79" t="s">
        <v>996</v>
      </c>
      <c r="D7" s="102">
        <v>0.8</v>
      </c>
      <c r="E7" s="128">
        <v>3.5</v>
      </c>
      <c r="F7" s="129">
        <f t="shared" si="1"/>
        <v>4.3</v>
      </c>
      <c r="G7" s="138" t="s">
        <v>997</v>
      </c>
      <c r="H7" s="78"/>
      <c r="I7" s="102"/>
      <c r="J7" s="78"/>
      <c r="K7" s="129">
        <v>4.82</v>
      </c>
      <c r="L7" s="131"/>
      <c r="M7" s="132"/>
      <c r="N7" s="132">
        <v>4.0</v>
      </c>
      <c r="O7" s="133">
        <f t="shared" si="2"/>
        <v>3.33</v>
      </c>
      <c r="P7" s="134"/>
      <c r="Q7" s="135"/>
      <c r="R7" s="136">
        <v>2.5</v>
      </c>
      <c r="S7" s="137">
        <f t="shared" si="3"/>
        <v>2.08</v>
      </c>
      <c r="T7" s="138" t="s">
        <v>998</v>
      </c>
      <c r="U7" s="141"/>
      <c r="V7" s="139"/>
      <c r="W7" s="133">
        <v>0.0</v>
      </c>
      <c r="X7" s="140"/>
      <c r="Y7" s="141">
        <v>1.0</v>
      </c>
      <c r="Z7" s="141">
        <v>5.0</v>
      </c>
      <c r="AA7" s="142">
        <f t="shared" si="4"/>
        <v>5</v>
      </c>
      <c r="AB7" s="151"/>
      <c r="AC7" s="143">
        <v>1.0</v>
      </c>
      <c r="AD7" s="143">
        <v>5.0</v>
      </c>
      <c r="AE7" s="143">
        <f t="shared" si="5"/>
        <v>5</v>
      </c>
      <c r="AF7" s="151"/>
      <c r="AG7" s="151"/>
      <c r="AH7" s="143"/>
      <c r="AI7" s="143"/>
      <c r="AJ7" s="146"/>
      <c r="AK7" s="152"/>
      <c r="AL7" s="152"/>
      <c r="AM7" s="134"/>
      <c r="AN7" s="146"/>
      <c r="AO7" s="143"/>
      <c r="AP7" s="147"/>
      <c r="AQ7" s="134"/>
      <c r="AR7" s="148"/>
      <c r="AS7" s="153"/>
      <c r="AT7" s="153"/>
    </row>
    <row r="8">
      <c r="A8" s="78">
        <v>6.0</v>
      </c>
      <c r="B8" s="78" t="s">
        <v>999</v>
      </c>
      <c r="C8" s="79" t="s">
        <v>1000</v>
      </c>
      <c r="D8" s="102"/>
      <c r="E8" s="128">
        <v>3.0</v>
      </c>
      <c r="F8" s="129">
        <f t="shared" si="1"/>
        <v>3</v>
      </c>
      <c r="G8" s="138" t="s">
        <v>1001</v>
      </c>
      <c r="H8" s="102"/>
      <c r="I8" s="102"/>
      <c r="J8" s="78"/>
      <c r="K8" s="129">
        <v>4.9</v>
      </c>
      <c r="L8" s="131"/>
      <c r="M8" s="150"/>
      <c r="N8" s="132"/>
      <c r="O8" s="133">
        <f t="shared" si="2"/>
        <v>0</v>
      </c>
      <c r="P8" s="134" t="s">
        <v>985</v>
      </c>
      <c r="Q8" s="136"/>
      <c r="R8" s="136"/>
      <c r="S8" s="137">
        <f t="shared" si="3"/>
        <v>0</v>
      </c>
      <c r="T8" s="138" t="s">
        <v>985</v>
      </c>
      <c r="U8" s="141"/>
      <c r="V8" s="141"/>
      <c r="W8" s="133"/>
      <c r="X8" s="149"/>
      <c r="Y8" s="139"/>
      <c r="Z8" s="141">
        <v>4.8</v>
      </c>
      <c r="AA8" s="142">
        <f t="shared" si="4"/>
        <v>4</v>
      </c>
      <c r="AB8" s="141" t="s">
        <v>1002</v>
      </c>
      <c r="AC8" s="141"/>
      <c r="AD8" s="141"/>
      <c r="AE8" s="143">
        <f t="shared" si="5"/>
        <v>0</v>
      </c>
      <c r="AF8" s="141"/>
      <c r="AG8" s="141"/>
      <c r="AH8" s="141"/>
      <c r="AI8" s="141"/>
      <c r="AJ8" s="146"/>
      <c r="AK8" s="154"/>
      <c r="AL8" s="132"/>
      <c r="AM8" s="132"/>
      <c r="AN8" s="146"/>
      <c r="AO8" s="143"/>
      <c r="AP8" s="147"/>
      <c r="AQ8" s="132"/>
      <c r="AR8" s="148"/>
      <c r="AS8" s="155"/>
      <c r="AT8" s="155"/>
    </row>
    <row r="9">
      <c r="A9" s="78">
        <v>7.0</v>
      </c>
      <c r="B9" s="78" t="s">
        <v>1003</v>
      </c>
      <c r="C9" s="79" t="s">
        <v>1004</v>
      </c>
      <c r="D9" s="102">
        <v>0.8</v>
      </c>
      <c r="E9" s="128">
        <v>3.5</v>
      </c>
      <c r="F9" s="129">
        <f t="shared" si="1"/>
        <v>4.3</v>
      </c>
      <c r="G9" s="138" t="s">
        <v>997</v>
      </c>
      <c r="H9" s="78"/>
      <c r="I9" s="78"/>
      <c r="J9" s="78"/>
      <c r="K9" s="129">
        <v>4.9</v>
      </c>
      <c r="L9" s="131"/>
      <c r="M9" s="150"/>
      <c r="N9" s="150"/>
      <c r="O9" s="133">
        <f t="shared" si="2"/>
        <v>0</v>
      </c>
      <c r="P9" s="134" t="s">
        <v>985</v>
      </c>
      <c r="Q9" s="135"/>
      <c r="R9" s="136">
        <v>4.0</v>
      </c>
      <c r="S9" s="137">
        <f t="shared" si="3"/>
        <v>3.33</v>
      </c>
      <c r="T9" s="138"/>
      <c r="U9" s="141"/>
      <c r="V9" s="141"/>
      <c r="W9" s="133">
        <v>0.0</v>
      </c>
      <c r="X9" s="156"/>
      <c r="Y9" s="141"/>
      <c r="Z9" s="141"/>
      <c r="AA9" s="142">
        <f t="shared" si="4"/>
        <v>0</v>
      </c>
      <c r="AB9" s="143" t="s">
        <v>985</v>
      </c>
      <c r="AC9" s="143"/>
      <c r="AD9" s="143"/>
      <c r="AE9" s="143">
        <f t="shared" si="5"/>
        <v>0</v>
      </c>
      <c r="AF9" s="143"/>
      <c r="AG9" s="143"/>
      <c r="AH9" s="151"/>
      <c r="AI9" s="151"/>
      <c r="AJ9" s="146"/>
      <c r="AK9" s="143"/>
      <c r="AL9" s="134"/>
      <c r="AM9" s="134"/>
      <c r="AN9" s="146"/>
      <c r="AO9" s="153"/>
      <c r="AP9" s="147"/>
      <c r="AQ9" s="134"/>
      <c r="AR9" s="148"/>
      <c r="AS9" s="153"/>
      <c r="AT9" s="153"/>
    </row>
    <row r="10">
      <c r="A10" s="78">
        <v>8.0</v>
      </c>
      <c r="B10" s="78" t="s">
        <v>1005</v>
      </c>
      <c r="C10" s="79" t="s">
        <v>1006</v>
      </c>
      <c r="D10" s="102">
        <v>0.8</v>
      </c>
      <c r="E10" s="128">
        <v>4.0</v>
      </c>
      <c r="F10" s="129">
        <f t="shared" si="1"/>
        <v>4.8</v>
      </c>
      <c r="G10" s="138"/>
      <c r="H10" s="78"/>
      <c r="I10" s="102"/>
      <c r="J10" s="78"/>
      <c r="K10" s="129">
        <v>5.0</v>
      </c>
      <c r="L10" s="131"/>
      <c r="M10" s="132">
        <v>2.0</v>
      </c>
      <c r="N10" s="132">
        <v>4.0</v>
      </c>
      <c r="O10" s="133">
        <f t="shared" si="2"/>
        <v>5</v>
      </c>
      <c r="P10" s="134"/>
      <c r="Q10" s="136">
        <v>0.0</v>
      </c>
      <c r="R10" s="136">
        <v>4.0</v>
      </c>
      <c r="S10" s="137">
        <f t="shared" si="3"/>
        <v>3.33</v>
      </c>
      <c r="T10" s="138" t="s">
        <v>1007</v>
      </c>
      <c r="U10" s="139"/>
      <c r="V10" s="139"/>
      <c r="W10" s="133">
        <v>4.81</v>
      </c>
      <c r="X10" s="140"/>
      <c r="Y10" s="141">
        <v>1.0</v>
      </c>
      <c r="Z10" s="141">
        <v>5.0</v>
      </c>
      <c r="AA10" s="142">
        <f t="shared" si="4"/>
        <v>5</v>
      </c>
      <c r="AB10" s="143"/>
      <c r="AC10" s="143">
        <v>1.0</v>
      </c>
      <c r="AD10" s="143">
        <v>5.0</v>
      </c>
      <c r="AE10" s="143">
        <f t="shared" si="5"/>
        <v>5</v>
      </c>
      <c r="AF10" s="143"/>
      <c r="AG10" s="143"/>
      <c r="AH10" s="143"/>
      <c r="AI10" s="143"/>
      <c r="AJ10" s="146"/>
      <c r="AK10" s="143"/>
      <c r="AL10" s="152"/>
      <c r="AM10" s="152"/>
      <c r="AN10" s="146"/>
      <c r="AO10" s="143"/>
      <c r="AP10" s="153"/>
      <c r="AQ10" s="152"/>
      <c r="AR10" s="148"/>
      <c r="AS10" s="147"/>
      <c r="AT10" s="153"/>
    </row>
    <row r="11">
      <c r="A11" s="78">
        <v>9.0</v>
      </c>
      <c r="B11" s="78" t="s">
        <v>1008</v>
      </c>
      <c r="C11" s="79" t="s">
        <v>1009</v>
      </c>
      <c r="D11" s="102">
        <v>0.7</v>
      </c>
      <c r="E11" s="128">
        <v>4.0</v>
      </c>
      <c r="F11" s="129">
        <f t="shared" si="1"/>
        <v>4.7</v>
      </c>
      <c r="G11" s="130"/>
      <c r="H11" s="78"/>
      <c r="I11" s="102"/>
      <c r="J11" s="78"/>
      <c r="K11" s="129">
        <v>5.0</v>
      </c>
      <c r="L11" s="131"/>
      <c r="M11" s="132">
        <v>2.0</v>
      </c>
      <c r="N11" s="132">
        <v>4.0</v>
      </c>
      <c r="O11" s="133">
        <f t="shared" si="2"/>
        <v>5</v>
      </c>
      <c r="P11" s="134"/>
      <c r="Q11" s="135"/>
      <c r="R11" s="136">
        <v>4.0</v>
      </c>
      <c r="S11" s="137">
        <f t="shared" si="3"/>
        <v>3.33</v>
      </c>
      <c r="T11" s="138"/>
      <c r="U11" s="141"/>
      <c r="V11" s="139"/>
      <c r="W11" s="133">
        <v>5.0</v>
      </c>
      <c r="X11" s="140"/>
      <c r="Y11" s="141">
        <v>1.0</v>
      </c>
      <c r="Z11" s="141">
        <v>5.0</v>
      </c>
      <c r="AA11" s="142">
        <f t="shared" si="4"/>
        <v>5</v>
      </c>
      <c r="AB11" s="151"/>
      <c r="AC11" s="143">
        <v>1.0</v>
      </c>
      <c r="AD11" s="143">
        <v>5.0</v>
      </c>
      <c r="AE11" s="143">
        <f t="shared" si="5"/>
        <v>5</v>
      </c>
      <c r="AF11" s="151"/>
      <c r="AG11" s="151"/>
      <c r="AH11" s="151"/>
      <c r="AI11" s="143"/>
      <c r="AJ11" s="146"/>
      <c r="AK11" s="152"/>
      <c r="AL11" s="152"/>
      <c r="AM11" s="134"/>
      <c r="AN11" s="146"/>
      <c r="AO11" s="143"/>
      <c r="AP11" s="147"/>
      <c r="AQ11" s="134"/>
      <c r="AR11" s="148"/>
      <c r="AS11" s="153"/>
      <c r="AT11" s="153"/>
    </row>
    <row r="12">
      <c r="A12" s="78">
        <v>10.0</v>
      </c>
      <c r="B12" s="78" t="s">
        <v>1010</v>
      </c>
      <c r="C12" s="79" t="s">
        <v>1011</v>
      </c>
      <c r="D12" s="78"/>
      <c r="E12" s="149"/>
      <c r="F12" s="129">
        <f t="shared" si="1"/>
        <v>0</v>
      </c>
      <c r="G12" s="138" t="s">
        <v>991</v>
      </c>
      <c r="H12" s="78"/>
      <c r="I12" s="78"/>
      <c r="J12" s="78"/>
      <c r="K12" s="129"/>
      <c r="L12" s="131"/>
      <c r="M12" s="132">
        <v>2.0</v>
      </c>
      <c r="N12" s="132">
        <v>4.0</v>
      </c>
      <c r="O12" s="133">
        <f t="shared" si="2"/>
        <v>5</v>
      </c>
      <c r="P12" s="134"/>
      <c r="Q12" s="135"/>
      <c r="R12" s="135"/>
      <c r="S12" s="137">
        <f t="shared" si="3"/>
        <v>0</v>
      </c>
      <c r="T12" s="138" t="s">
        <v>985</v>
      </c>
      <c r="U12" s="139"/>
      <c r="V12" s="139"/>
      <c r="W12" s="133"/>
      <c r="X12" s="140"/>
      <c r="Y12" s="139"/>
      <c r="Z12" s="139"/>
      <c r="AA12" s="142">
        <f t="shared" si="4"/>
        <v>0</v>
      </c>
      <c r="AB12" s="143" t="s">
        <v>985</v>
      </c>
      <c r="AC12" s="143"/>
      <c r="AD12" s="143"/>
      <c r="AE12" s="143">
        <f t="shared" si="5"/>
        <v>0</v>
      </c>
      <c r="AF12" s="143"/>
      <c r="AG12" s="143"/>
      <c r="AH12" s="143"/>
      <c r="AI12" s="143"/>
      <c r="AJ12" s="146"/>
      <c r="AK12" s="143"/>
      <c r="AL12" s="152"/>
      <c r="AM12" s="152"/>
      <c r="AN12" s="146"/>
      <c r="AO12" s="143"/>
      <c r="AP12" s="153"/>
      <c r="AQ12" s="152"/>
      <c r="AR12" s="148"/>
      <c r="AS12" s="147"/>
      <c r="AT12" s="153"/>
    </row>
    <row r="13">
      <c r="A13" s="78">
        <v>11.0</v>
      </c>
      <c r="B13" s="78" t="s">
        <v>1012</v>
      </c>
      <c r="C13" s="79" t="s">
        <v>1013</v>
      </c>
      <c r="D13" s="102">
        <v>1.0</v>
      </c>
      <c r="E13" s="128">
        <v>4.0</v>
      </c>
      <c r="F13" s="129">
        <f t="shared" si="1"/>
        <v>5</v>
      </c>
      <c r="G13" s="138"/>
      <c r="H13" s="78"/>
      <c r="I13" s="102"/>
      <c r="J13" s="78"/>
      <c r="K13" s="129">
        <v>5.0</v>
      </c>
      <c r="L13" s="131"/>
      <c r="M13" s="132">
        <v>2.0</v>
      </c>
      <c r="N13" s="132">
        <v>4.0</v>
      </c>
      <c r="O13" s="133">
        <f t="shared" si="2"/>
        <v>5</v>
      </c>
      <c r="P13" s="134"/>
      <c r="Q13" s="136">
        <v>2.0</v>
      </c>
      <c r="R13" s="136">
        <v>4.0</v>
      </c>
      <c r="S13" s="137">
        <f t="shared" si="3"/>
        <v>5</v>
      </c>
      <c r="T13" s="138"/>
      <c r="U13" s="139"/>
      <c r="V13" s="139"/>
      <c r="W13" s="133">
        <v>5.0</v>
      </c>
      <c r="X13" s="140"/>
      <c r="Y13" s="141">
        <v>1.0</v>
      </c>
      <c r="Z13" s="141">
        <v>5.0</v>
      </c>
      <c r="AA13" s="142">
        <f t="shared" si="4"/>
        <v>5</v>
      </c>
      <c r="AB13" s="143"/>
      <c r="AC13" s="143">
        <v>1.0</v>
      </c>
      <c r="AD13" s="143">
        <v>5.0</v>
      </c>
      <c r="AE13" s="143">
        <f t="shared" si="5"/>
        <v>5</v>
      </c>
      <c r="AF13" s="143"/>
      <c r="AG13" s="143"/>
      <c r="AH13" s="143"/>
      <c r="AI13" s="143"/>
      <c r="AJ13" s="146"/>
      <c r="AK13" s="143"/>
      <c r="AL13" s="152"/>
      <c r="AM13" s="152"/>
      <c r="AN13" s="146"/>
      <c r="AO13" s="143"/>
      <c r="AP13" s="153"/>
      <c r="AQ13" s="152"/>
      <c r="AR13" s="148"/>
      <c r="AS13" s="147"/>
      <c r="AT13" s="153"/>
    </row>
    <row r="14">
      <c r="A14" s="78">
        <v>12.0</v>
      </c>
      <c r="B14" s="78" t="s">
        <v>1014</v>
      </c>
      <c r="C14" s="79" t="s">
        <v>1015</v>
      </c>
      <c r="D14" s="102">
        <v>1.0</v>
      </c>
      <c r="E14" s="128">
        <v>4.0</v>
      </c>
      <c r="F14" s="129">
        <f t="shared" si="1"/>
        <v>5</v>
      </c>
      <c r="G14" s="130"/>
      <c r="H14" s="78"/>
      <c r="I14" s="78"/>
      <c r="J14" s="78"/>
      <c r="K14" s="129">
        <v>4.16</v>
      </c>
      <c r="L14" s="131"/>
      <c r="M14" s="132">
        <v>2.0</v>
      </c>
      <c r="N14" s="132">
        <v>4.0</v>
      </c>
      <c r="O14" s="133">
        <f t="shared" si="2"/>
        <v>5</v>
      </c>
      <c r="P14" s="134"/>
      <c r="Q14" s="135"/>
      <c r="R14" s="136">
        <v>2.0</v>
      </c>
      <c r="S14" s="137">
        <f t="shared" si="3"/>
        <v>1.67</v>
      </c>
      <c r="T14" s="138" t="s">
        <v>1016</v>
      </c>
      <c r="U14" s="139"/>
      <c r="V14" s="139"/>
      <c r="W14" s="133">
        <v>3.58</v>
      </c>
      <c r="X14" s="140"/>
      <c r="Y14" s="141">
        <v>1.0</v>
      </c>
      <c r="Z14" s="141">
        <v>5.0</v>
      </c>
      <c r="AA14" s="142">
        <f t="shared" si="4"/>
        <v>5</v>
      </c>
      <c r="AB14" s="143"/>
      <c r="AC14" s="143"/>
      <c r="AD14" s="143">
        <v>2.0</v>
      </c>
      <c r="AE14" s="143">
        <f t="shared" si="5"/>
        <v>1.67</v>
      </c>
      <c r="AF14" s="143" t="s">
        <v>1017</v>
      </c>
      <c r="AG14" s="143"/>
      <c r="AH14" s="143"/>
      <c r="AI14" s="143"/>
      <c r="AJ14" s="146"/>
      <c r="AK14" s="143"/>
      <c r="AL14" s="152"/>
      <c r="AM14" s="152"/>
      <c r="AN14" s="146"/>
      <c r="AO14" s="143"/>
      <c r="AP14" s="153"/>
      <c r="AQ14" s="152"/>
      <c r="AR14" s="148"/>
      <c r="AS14" s="147"/>
      <c r="AT14" s="153"/>
    </row>
    <row r="15">
      <c r="A15" s="78">
        <v>13.0</v>
      </c>
      <c r="B15" s="78" t="s">
        <v>1018</v>
      </c>
      <c r="C15" s="79" t="s">
        <v>1019</v>
      </c>
      <c r="D15" s="102">
        <v>0.8</v>
      </c>
      <c r="E15" s="128">
        <v>3.0</v>
      </c>
      <c r="F15" s="129">
        <f t="shared" si="1"/>
        <v>3.8</v>
      </c>
      <c r="G15" s="138" t="s">
        <v>1020</v>
      </c>
      <c r="H15" s="78"/>
      <c r="I15" s="102"/>
      <c r="J15" s="78"/>
      <c r="K15" s="129">
        <v>5.0</v>
      </c>
      <c r="L15" s="131"/>
      <c r="M15" s="132"/>
      <c r="N15" s="132">
        <v>4.0</v>
      </c>
      <c r="O15" s="133">
        <f t="shared" si="2"/>
        <v>3.33</v>
      </c>
      <c r="P15" s="134" t="s">
        <v>984</v>
      </c>
      <c r="Q15" s="136">
        <v>1.0</v>
      </c>
      <c r="R15" s="136">
        <v>4.0</v>
      </c>
      <c r="S15" s="137">
        <f t="shared" si="3"/>
        <v>4.17</v>
      </c>
      <c r="T15" s="138" t="s">
        <v>1021</v>
      </c>
      <c r="U15" s="141"/>
      <c r="V15" s="139"/>
      <c r="W15" s="133">
        <v>1.43</v>
      </c>
      <c r="X15" s="140"/>
      <c r="Y15" s="141">
        <v>1.0</v>
      </c>
      <c r="Z15" s="141">
        <v>5.0</v>
      </c>
      <c r="AA15" s="142">
        <f t="shared" si="4"/>
        <v>5</v>
      </c>
      <c r="AB15" s="141"/>
      <c r="AC15" s="141">
        <v>1.0</v>
      </c>
      <c r="AD15" s="141">
        <v>5.0</v>
      </c>
      <c r="AE15" s="143">
        <f t="shared" si="5"/>
        <v>5</v>
      </c>
      <c r="AF15" s="141"/>
      <c r="AG15" s="141"/>
      <c r="AH15" s="141"/>
      <c r="AI15" s="141"/>
      <c r="AJ15" s="146"/>
      <c r="AK15" s="134"/>
      <c r="AL15" s="134"/>
      <c r="AM15" s="134"/>
      <c r="AN15" s="146"/>
      <c r="AO15" s="143"/>
      <c r="AP15" s="147"/>
      <c r="AQ15" s="134"/>
      <c r="AR15" s="148"/>
      <c r="AS15" s="147"/>
      <c r="AT15" s="147"/>
    </row>
    <row r="16">
      <c r="A16" s="78">
        <v>14.0</v>
      </c>
      <c r="B16" s="78" t="s">
        <v>1022</v>
      </c>
      <c r="C16" s="79" t="s">
        <v>1023</v>
      </c>
      <c r="D16" s="102">
        <v>1.0</v>
      </c>
      <c r="E16" s="128">
        <v>4.0</v>
      </c>
      <c r="F16" s="129">
        <f t="shared" si="1"/>
        <v>5</v>
      </c>
      <c r="G16" s="130"/>
      <c r="H16" s="78"/>
      <c r="I16" s="78"/>
      <c r="J16" s="78"/>
      <c r="K16" s="129">
        <v>5.0</v>
      </c>
      <c r="L16" s="131"/>
      <c r="M16" s="132">
        <v>2.0</v>
      </c>
      <c r="N16" s="132">
        <v>4.0</v>
      </c>
      <c r="O16" s="133">
        <f t="shared" si="2"/>
        <v>5</v>
      </c>
      <c r="P16" s="134"/>
      <c r="Q16" s="136"/>
      <c r="R16" s="136"/>
      <c r="S16" s="137">
        <f t="shared" si="3"/>
        <v>0</v>
      </c>
      <c r="T16" s="138" t="s">
        <v>985</v>
      </c>
      <c r="U16" s="139"/>
      <c r="V16" s="139"/>
      <c r="W16" s="133">
        <v>4.61</v>
      </c>
      <c r="X16" s="140"/>
      <c r="Y16" s="141">
        <v>1.0</v>
      </c>
      <c r="Z16" s="141">
        <v>5.0</v>
      </c>
      <c r="AA16" s="142">
        <f t="shared" si="4"/>
        <v>5</v>
      </c>
      <c r="AB16" s="143"/>
      <c r="AC16" s="143">
        <v>1.0</v>
      </c>
      <c r="AD16" s="143">
        <v>5.0</v>
      </c>
      <c r="AE16" s="143">
        <f t="shared" si="5"/>
        <v>5</v>
      </c>
      <c r="AF16" s="143"/>
      <c r="AG16" s="143"/>
      <c r="AH16" s="143"/>
      <c r="AI16" s="143"/>
      <c r="AJ16" s="146"/>
      <c r="AK16" s="143"/>
      <c r="AL16" s="152"/>
      <c r="AM16" s="152"/>
      <c r="AN16" s="146"/>
      <c r="AO16" s="143"/>
      <c r="AP16" s="147"/>
      <c r="AQ16" s="134"/>
      <c r="AR16" s="148"/>
      <c r="AS16" s="147"/>
      <c r="AT16" s="147"/>
    </row>
    <row r="17">
      <c r="A17" s="78">
        <v>15.0</v>
      </c>
      <c r="B17" s="78" t="s">
        <v>1024</v>
      </c>
      <c r="C17" s="79" t="s">
        <v>1025</v>
      </c>
      <c r="D17" s="102">
        <v>1.0</v>
      </c>
      <c r="E17" s="128">
        <v>4.0</v>
      </c>
      <c r="F17" s="129">
        <f t="shared" si="1"/>
        <v>5</v>
      </c>
      <c r="G17" s="130"/>
      <c r="H17" s="102"/>
      <c r="I17" s="102"/>
      <c r="J17" s="78"/>
      <c r="K17" s="129">
        <v>5.0</v>
      </c>
      <c r="L17" s="131"/>
      <c r="M17" s="150"/>
      <c r="N17" s="132"/>
      <c r="O17" s="133">
        <f t="shared" si="2"/>
        <v>0</v>
      </c>
      <c r="P17" s="134" t="s">
        <v>985</v>
      </c>
      <c r="Q17" s="136">
        <v>0.0</v>
      </c>
      <c r="R17" s="136">
        <v>4.0</v>
      </c>
      <c r="S17" s="137">
        <f t="shared" si="3"/>
        <v>3.33</v>
      </c>
      <c r="T17" s="138" t="s">
        <v>1026</v>
      </c>
      <c r="U17" s="139"/>
      <c r="V17" s="139"/>
      <c r="W17" s="133">
        <v>0.0</v>
      </c>
      <c r="X17" s="140"/>
      <c r="Y17" s="139"/>
      <c r="Z17" s="141">
        <v>5.0</v>
      </c>
      <c r="AA17" s="142">
        <f t="shared" si="4"/>
        <v>4.17</v>
      </c>
      <c r="AB17" s="143"/>
      <c r="AC17" s="143">
        <v>1.0</v>
      </c>
      <c r="AD17" s="143"/>
      <c r="AE17" s="143">
        <f t="shared" si="5"/>
        <v>0.83</v>
      </c>
      <c r="AF17" s="143"/>
      <c r="AG17" s="143"/>
      <c r="AH17" s="143"/>
      <c r="AI17" s="143"/>
      <c r="AJ17" s="146"/>
      <c r="AK17" s="143"/>
      <c r="AL17" s="152"/>
      <c r="AM17" s="152"/>
      <c r="AN17" s="146"/>
      <c r="AO17" s="143"/>
      <c r="AP17" s="147"/>
      <c r="AQ17" s="152"/>
      <c r="AR17" s="148"/>
      <c r="AS17" s="147"/>
      <c r="AT17" s="153"/>
    </row>
    <row r="18">
      <c r="A18" s="78">
        <v>16.0</v>
      </c>
      <c r="B18" s="78" t="s">
        <v>1027</v>
      </c>
      <c r="C18" s="79" t="s">
        <v>1028</v>
      </c>
      <c r="D18" s="102">
        <v>0.8</v>
      </c>
      <c r="E18" s="128">
        <v>3.5</v>
      </c>
      <c r="F18" s="129">
        <f t="shared" si="1"/>
        <v>4.3</v>
      </c>
      <c r="G18" s="138" t="s">
        <v>997</v>
      </c>
      <c r="H18" s="78"/>
      <c r="I18" s="78"/>
      <c r="J18" s="78"/>
      <c r="K18" s="129">
        <v>4.9</v>
      </c>
      <c r="L18" s="157"/>
      <c r="M18" s="132">
        <v>2.0</v>
      </c>
      <c r="N18" s="132">
        <v>4.0</v>
      </c>
      <c r="O18" s="133">
        <f t="shared" si="2"/>
        <v>5</v>
      </c>
      <c r="P18" s="134"/>
      <c r="Q18" s="136">
        <v>2.0</v>
      </c>
      <c r="R18" s="136">
        <v>4.0</v>
      </c>
      <c r="S18" s="137">
        <f t="shared" si="3"/>
        <v>5</v>
      </c>
      <c r="T18" s="138"/>
      <c r="U18" s="141"/>
      <c r="V18" s="141"/>
      <c r="W18" s="133">
        <v>5.0</v>
      </c>
      <c r="X18" s="149"/>
      <c r="Y18" s="141">
        <v>1.0</v>
      </c>
      <c r="Z18" s="141">
        <v>5.0</v>
      </c>
      <c r="AA18" s="142">
        <f t="shared" si="4"/>
        <v>5</v>
      </c>
      <c r="AB18" s="143"/>
      <c r="AC18" s="143">
        <v>1.0</v>
      </c>
      <c r="AD18" s="143">
        <v>5.0</v>
      </c>
      <c r="AE18" s="143">
        <f t="shared" si="5"/>
        <v>5</v>
      </c>
      <c r="AF18" s="143"/>
      <c r="AG18" s="143"/>
      <c r="AH18" s="143"/>
      <c r="AI18" s="143"/>
      <c r="AJ18" s="146"/>
      <c r="AK18" s="143"/>
      <c r="AL18" s="150"/>
      <c r="AM18" s="150"/>
      <c r="AN18" s="146"/>
      <c r="AO18" s="143"/>
      <c r="AP18" s="158"/>
      <c r="AQ18" s="150"/>
      <c r="AR18" s="148"/>
      <c r="AS18" s="147"/>
      <c r="AT18" s="158"/>
    </row>
    <row r="19">
      <c r="A19" s="78">
        <v>17.0</v>
      </c>
      <c r="B19" s="78" t="s">
        <v>1029</v>
      </c>
      <c r="C19" s="79" t="s">
        <v>1030</v>
      </c>
      <c r="D19" s="102">
        <v>1.0</v>
      </c>
      <c r="E19" s="128">
        <v>4.0</v>
      </c>
      <c r="F19" s="129">
        <f t="shared" si="1"/>
        <v>5</v>
      </c>
      <c r="G19" s="130"/>
      <c r="H19" s="102"/>
      <c r="I19" s="102"/>
      <c r="J19" s="78"/>
      <c r="K19" s="129">
        <v>4.9</v>
      </c>
      <c r="L19" s="157"/>
      <c r="M19" s="132">
        <v>2.0</v>
      </c>
      <c r="N19" s="132">
        <v>4.0</v>
      </c>
      <c r="O19" s="133">
        <f t="shared" si="2"/>
        <v>5</v>
      </c>
      <c r="P19" s="152"/>
      <c r="Q19" s="136">
        <v>2.0</v>
      </c>
      <c r="R19" s="136">
        <v>3.5</v>
      </c>
      <c r="S19" s="137">
        <f t="shared" si="3"/>
        <v>4.58</v>
      </c>
      <c r="T19" s="138" t="s">
        <v>1031</v>
      </c>
      <c r="U19" s="141"/>
      <c r="V19" s="141"/>
      <c r="W19" s="133">
        <v>5.0</v>
      </c>
      <c r="X19" s="140"/>
      <c r="Y19" s="141">
        <v>1.0</v>
      </c>
      <c r="Z19" s="141">
        <v>5.0</v>
      </c>
      <c r="AA19" s="142">
        <f t="shared" si="4"/>
        <v>5</v>
      </c>
      <c r="AB19" s="143"/>
      <c r="AC19" s="143">
        <v>1.0</v>
      </c>
      <c r="AD19" s="143">
        <v>5.0</v>
      </c>
      <c r="AE19" s="143">
        <f t="shared" si="5"/>
        <v>5</v>
      </c>
      <c r="AF19" s="143"/>
      <c r="AG19" s="143"/>
      <c r="AH19" s="143"/>
      <c r="AI19" s="143"/>
      <c r="AJ19" s="146"/>
      <c r="AK19" s="143"/>
      <c r="AL19" s="152"/>
      <c r="AM19" s="134"/>
      <c r="AN19" s="146"/>
      <c r="AO19" s="143"/>
      <c r="AP19" s="147"/>
      <c r="AQ19" s="134"/>
      <c r="AR19" s="148"/>
      <c r="AS19" s="153"/>
      <c r="AT19" s="153"/>
    </row>
    <row r="20">
      <c r="A20" s="78">
        <v>18.0</v>
      </c>
      <c r="B20" s="78" t="s">
        <v>1032</v>
      </c>
      <c r="C20" s="79" t="s">
        <v>1033</v>
      </c>
      <c r="D20" s="102">
        <v>1.0</v>
      </c>
      <c r="E20" s="102">
        <v>3.5</v>
      </c>
      <c r="F20" s="129">
        <f t="shared" si="1"/>
        <v>4.5</v>
      </c>
      <c r="G20" s="138" t="s">
        <v>997</v>
      </c>
      <c r="H20" s="102"/>
      <c r="I20" s="102"/>
      <c r="J20" s="78"/>
      <c r="K20" s="129">
        <v>5.0</v>
      </c>
      <c r="L20" s="157"/>
      <c r="M20" s="132">
        <v>2.0</v>
      </c>
      <c r="N20" s="132">
        <v>4.0</v>
      </c>
      <c r="O20" s="133">
        <f t="shared" si="2"/>
        <v>5</v>
      </c>
      <c r="P20" s="134"/>
      <c r="Q20" s="136">
        <v>2.0</v>
      </c>
      <c r="R20" s="136">
        <v>4.0</v>
      </c>
      <c r="S20" s="137">
        <f t="shared" si="3"/>
        <v>5</v>
      </c>
      <c r="T20" s="138"/>
      <c r="U20" s="141"/>
      <c r="V20" s="139"/>
      <c r="W20" s="133">
        <v>4.29</v>
      </c>
      <c r="X20" s="140"/>
      <c r="Y20" s="139"/>
      <c r="Z20" s="159"/>
      <c r="AA20" s="142">
        <f t="shared" si="4"/>
        <v>0</v>
      </c>
      <c r="AB20" s="143" t="s">
        <v>985</v>
      </c>
      <c r="AC20" s="143"/>
      <c r="AD20" s="143"/>
      <c r="AE20" s="143">
        <f t="shared" si="5"/>
        <v>0</v>
      </c>
      <c r="AF20" s="143"/>
      <c r="AG20" s="143"/>
      <c r="AH20" s="143"/>
      <c r="AI20" s="143"/>
      <c r="AJ20" s="146"/>
      <c r="AK20" s="143"/>
      <c r="AL20" s="152"/>
      <c r="AM20" s="152"/>
      <c r="AN20" s="146"/>
      <c r="AO20" s="153"/>
      <c r="AP20" s="153"/>
      <c r="AQ20" s="152"/>
      <c r="AR20" s="148"/>
      <c r="AS20" s="147"/>
      <c r="AT20" s="153"/>
    </row>
    <row r="21" ht="26.25" customHeight="1">
      <c r="A21" s="78">
        <v>19.0</v>
      </c>
      <c r="B21" s="78" t="s">
        <v>1034</v>
      </c>
      <c r="C21" s="79" t="s">
        <v>1035</v>
      </c>
      <c r="D21" s="102">
        <v>1.0</v>
      </c>
      <c r="E21" s="149"/>
      <c r="F21" s="129">
        <f t="shared" si="1"/>
        <v>1</v>
      </c>
      <c r="G21" s="130"/>
      <c r="H21" s="102"/>
      <c r="I21" s="102"/>
      <c r="J21" s="78"/>
      <c r="K21" s="129">
        <v>5.0</v>
      </c>
      <c r="L21" s="131"/>
      <c r="M21" s="132">
        <v>1.0</v>
      </c>
      <c r="N21" s="132">
        <v>4.0</v>
      </c>
      <c r="O21" s="133">
        <f t="shared" si="2"/>
        <v>4.17</v>
      </c>
      <c r="P21" s="134" t="s">
        <v>1036</v>
      </c>
      <c r="Q21" s="136">
        <v>2.0</v>
      </c>
      <c r="R21" s="136">
        <v>4.0</v>
      </c>
      <c r="S21" s="137">
        <f t="shared" si="3"/>
        <v>5</v>
      </c>
      <c r="T21" s="138"/>
      <c r="U21" s="139"/>
      <c r="V21" s="139"/>
      <c r="W21" s="133">
        <v>0.72</v>
      </c>
      <c r="X21" s="140"/>
      <c r="Y21" s="141">
        <v>1.0</v>
      </c>
      <c r="Z21" s="141">
        <v>5.0</v>
      </c>
      <c r="AA21" s="142">
        <f t="shared" si="4"/>
        <v>5</v>
      </c>
      <c r="AB21" s="143"/>
      <c r="AC21" s="143">
        <v>1.0</v>
      </c>
      <c r="AD21" s="143">
        <v>5.0</v>
      </c>
      <c r="AE21" s="143">
        <f t="shared" si="5"/>
        <v>5</v>
      </c>
      <c r="AF21" s="143"/>
      <c r="AG21" s="143"/>
      <c r="AH21" s="143"/>
      <c r="AI21" s="143"/>
      <c r="AJ21" s="146"/>
      <c r="AK21" s="143"/>
      <c r="AL21" s="134"/>
      <c r="AM21" s="134"/>
      <c r="AN21" s="146"/>
      <c r="AO21" s="143"/>
      <c r="AP21" s="147"/>
      <c r="AQ21" s="134"/>
      <c r="AR21" s="148"/>
      <c r="AS21" s="147"/>
    </row>
    <row r="22">
      <c r="A22" s="78">
        <v>20.0</v>
      </c>
      <c r="B22" s="78" t="s">
        <v>1037</v>
      </c>
      <c r="C22" s="79" t="s">
        <v>1038</v>
      </c>
      <c r="D22" s="102">
        <v>0.5</v>
      </c>
      <c r="E22" s="128">
        <v>3.5</v>
      </c>
      <c r="F22" s="129">
        <f t="shared" si="1"/>
        <v>4</v>
      </c>
      <c r="G22" s="138" t="s">
        <v>997</v>
      </c>
      <c r="H22" s="78"/>
      <c r="I22" s="78"/>
      <c r="J22" s="78"/>
      <c r="K22" s="129">
        <v>5.0</v>
      </c>
      <c r="L22" s="131"/>
      <c r="M22" s="132">
        <v>2.0</v>
      </c>
      <c r="N22" s="132">
        <v>4.0</v>
      </c>
      <c r="O22" s="133">
        <f t="shared" si="2"/>
        <v>5</v>
      </c>
      <c r="P22" s="134"/>
      <c r="Q22" s="136">
        <v>2.0</v>
      </c>
      <c r="R22" s="136">
        <v>4.0</v>
      </c>
      <c r="S22" s="137">
        <f t="shared" si="3"/>
        <v>5</v>
      </c>
      <c r="T22" s="138"/>
      <c r="U22" s="139"/>
      <c r="V22" s="139"/>
      <c r="W22" s="133">
        <v>5.0</v>
      </c>
      <c r="X22" s="140"/>
      <c r="Y22" s="141">
        <v>1.0</v>
      </c>
      <c r="Z22" s="141">
        <v>5.0</v>
      </c>
      <c r="AA22" s="142">
        <f t="shared" si="4"/>
        <v>5</v>
      </c>
      <c r="AB22" s="143"/>
      <c r="AC22" s="143">
        <v>1.0</v>
      </c>
      <c r="AD22" s="143">
        <v>5.0</v>
      </c>
      <c r="AE22" s="143">
        <f t="shared" si="5"/>
        <v>5</v>
      </c>
      <c r="AF22" s="143"/>
      <c r="AG22" s="143"/>
      <c r="AH22" s="143"/>
      <c r="AI22" s="143"/>
      <c r="AJ22" s="146"/>
      <c r="AK22" s="143"/>
      <c r="AL22" s="134"/>
      <c r="AM22" s="134"/>
      <c r="AN22" s="146"/>
      <c r="AO22" s="143"/>
      <c r="AP22" s="147"/>
      <c r="AQ22" s="134"/>
      <c r="AR22" s="148"/>
      <c r="AS22" s="147"/>
    </row>
    <row r="23">
      <c r="A23" s="78">
        <v>21.0</v>
      </c>
      <c r="B23" s="78" t="s">
        <v>1039</v>
      </c>
      <c r="C23" s="79" t="s">
        <v>1040</v>
      </c>
      <c r="D23" s="102">
        <v>1.0</v>
      </c>
      <c r="E23" s="128">
        <v>4.0</v>
      </c>
      <c r="F23" s="129">
        <f t="shared" si="1"/>
        <v>5</v>
      </c>
      <c r="G23" s="138"/>
      <c r="H23" s="102"/>
      <c r="I23" s="78"/>
      <c r="J23" s="78"/>
      <c r="K23" s="129">
        <v>5.0</v>
      </c>
      <c r="L23" s="131"/>
      <c r="M23" s="132">
        <v>2.0</v>
      </c>
      <c r="N23" s="132">
        <v>4.0</v>
      </c>
      <c r="O23" s="133">
        <f t="shared" si="2"/>
        <v>5</v>
      </c>
      <c r="P23" s="134"/>
      <c r="Q23" s="136">
        <v>1.0</v>
      </c>
      <c r="R23" s="136">
        <v>4.0</v>
      </c>
      <c r="S23" s="137">
        <f t="shared" si="3"/>
        <v>4.17</v>
      </c>
      <c r="T23" s="138" t="s">
        <v>1041</v>
      </c>
      <c r="U23" s="139"/>
      <c r="V23" s="139"/>
      <c r="W23" s="133">
        <v>5.0</v>
      </c>
      <c r="X23" s="140"/>
      <c r="Y23" s="141">
        <v>1.0</v>
      </c>
      <c r="Z23" s="141">
        <v>5.0</v>
      </c>
      <c r="AA23" s="142">
        <f t="shared" si="4"/>
        <v>5</v>
      </c>
      <c r="AB23" s="143"/>
      <c r="AC23" s="143">
        <v>1.0</v>
      </c>
      <c r="AD23" s="143">
        <v>5.0</v>
      </c>
      <c r="AE23" s="143">
        <f t="shared" si="5"/>
        <v>5</v>
      </c>
      <c r="AF23" s="143"/>
      <c r="AG23" s="143"/>
      <c r="AH23" s="143"/>
      <c r="AI23" s="143"/>
      <c r="AJ23" s="146"/>
      <c r="AK23" s="143"/>
      <c r="AL23" s="134"/>
      <c r="AM23" s="134"/>
      <c r="AN23" s="146"/>
      <c r="AO23" s="143"/>
      <c r="AP23" s="147"/>
      <c r="AQ23" s="134"/>
      <c r="AR23" s="148"/>
      <c r="AS23" s="147"/>
    </row>
    <row r="24">
      <c r="A24" s="78">
        <v>22.0</v>
      </c>
      <c r="B24" s="78" t="s">
        <v>1042</v>
      </c>
      <c r="C24" s="79" t="s">
        <v>1043</v>
      </c>
      <c r="D24" s="102">
        <v>1.0</v>
      </c>
      <c r="E24" s="128">
        <v>3.5</v>
      </c>
      <c r="F24" s="129">
        <f t="shared" si="1"/>
        <v>4.5</v>
      </c>
      <c r="G24" s="138" t="s">
        <v>997</v>
      </c>
      <c r="H24" s="78"/>
      <c r="I24" s="78"/>
      <c r="J24" s="78"/>
      <c r="K24" s="129">
        <v>5.0</v>
      </c>
      <c r="L24" s="131"/>
      <c r="M24" s="132">
        <v>2.0</v>
      </c>
      <c r="N24" s="132">
        <v>4.0</v>
      </c>
      <c r="O24" s="133">
        <f t="shared" si="2"/>
        <v>5</v>
      </c>
      <c r="P24" s="134"/>
      <c r="Q24" s="136">
        <v>2.0</v>
      </c>
      <c r="R24" s="136">
        <v>4.0</v>
      </c>
      <c r="S24" s="137">
        <f t="shared" si="3"/>
        <v>5</v>
      </c>
      <c r="T24" s="138"/>
      <c r="U24" s="139"/>
      <c r="V24" s="139"/>
      <c r="W24" s="133">
        <v>5.0</v>
      </c>
      <c r="X24" s="140"/>
      <c r="Y24" s="141">
        <v>1.0</v>
      </c>
      <c r="Z24" s="141">
        <v>5.0</v>
      </c>
      <c r="AA24" s="142">
        <f t="shared" si="4"/>
        <v>5</v>
      </c>
      <c r="AB24" s="143"/>
      <c r="AC24" s="143">
        <v>1.0</v>
      </c>
      <c r="AD24" s="143">
        <v>5.0</v>
      </c>
      <c r="AE24" s="143">
        <f t="shared" si="5"/>
        <v>5</v>
      </c>
      <c r="AF24" s="143"/>
      <c r="AG24" s="143"/>
      <c r="AH24" s="143"/>
      <c r="AI24" s="143"/>
      <c r="AJ24" s="146"/>
      <c r="AK24" s="143"/>
      <c r="AL24" s="134"/>
      <c r="AM24" s="134"/>
      <c r="AN24" s="146"/>
      <c r="AO24" s="143"/>
      <c r="AP24" s="147"/>
      <c r="AQ24" s="134"/>
      <c r="AR24" s="148"/>
      <c r="AS24" s="147"/>
    </row>
    <row r="25">
      <c r="A25" s="78">
        <v>23.0</v>
      </c>
      <c r="B25" s="103" t="s">
        <v>1044</v>
      </c>
      <c r="C25" s="104" t="s">
        <v>1045</v>
      </c>
      <c r="D25" s="102"/>
      <c r="E25" s="149"/>
      <c r="F25" s="129">
        <f t="shared" si="1"/>
        <v>0</v>
      </c>
      <c r="G25" s="130"/>
      <c r="H25" s="78"/>
      <c r="I25" s="102"/>
      <c r="J25" s="78"/>
      <c r="K25" s="129"/>
      <c r="L25" s="131"/>
      <c r="M25" s="132"/>
      <c r="N25" s="132"/>
      <c r="O25" s="133">
        <f t="shared" si="2"/>
        <v>0</v>
      </c>
      <c r="P25" s="134"/>
      <c r="Q25" s="135"/>
      <c r="R25" s="136"/>
      <c r="S25" s="137">
        <f t="shared" si="3"/>
        <v>0</v>
      </c>
      <c r="T25" s="138"/>
      <c r="U25" s="141"/>
      <c r="V25" s="139"/>
      <c r="W25" s="133"/>
      <c r="X25" s="140"/>
      <c r="Y25" s="141"/>
      <c r="Z25" s="141"/>
      <c r="AA25" s="142">
        <f t="shared" si="4"/>
        <v>0</v>
      </c>
      <c r="AB25" s="143" t="s">
        <v>985</v>
      </c>
      <c r="AC25" s="143"/>
      <c r="AD25" s="143"/>
      <c r="AE25" s="143">
        <f t="shared" si="5"/>
        <v>0</v>
      </c>
      <c r="AF25" s="143"/>
      <c r="AG25" s="143"/>
      <c r="AH25" s="143"/>
      <c r="AI25" s="143"/>
      <c r="AJ25" s="146"/>
      <c r="AK25" s="152"/>
      <c r="AL25" s="152"/>
      <c r="AM25" s="134"/>
      <c r="AN25" s="146"/>
      <c r="AO25" s="143"/>
      <c r="AP25" s="147"/>
      <c r="AQ25" s="134"/>
      <c r="AR25" s="148"/>
      <c r="AS25" s="153"/>
    </row>
    <row r="26">
      <c r="A26" s="78">
        <v>24.0</v>
      </c>
      <c r="B26" s="78" t="s">
        <v>1046</v>
      </c>
      <c r="C26" s="79" t="s">
        <v>1047</v>
      </c>
      <c r="D26" s="102">
        <v>1.0</v>
      </c>
      <c r="E26" s="128">
        <v>4.0</v>
      </c>
      <c r="F26" s="129">
        <f t="shared" si="1"/>
        <v>5</v>
      </c>
      <c r="G26" s="130"/>
      <c r="H26" s="102"/>
      <c r="I26" s="102"/>
      <c r="J26" s="78"/>
      <c r="K26" s="129">
        <v>4.16</v>
      </c>
      <c r="L26" s="131"/>
      <c r="M26" s="132">
        <v>2.0</v>
      </c>
      <c r="N26" s="132">
        <v>3.8</v>
      </c>
      <c r="O26" s="133">
        <f t="shared" si="2"/>
        <v>4.83</v>
      </c>
      <c r="P26" s="134" t="s">
        <v>1048</v>
      </c>
      <c r="Q26" s="136"/>
      <c r="R26" s="136"/>
      <c r="S26" s="137">
        <f t="shared" si="3"/>
        <v>0</v>
      </c>
      <c r="T26" s="138" t="s">
        <v>985</v>
      </c>
      <c r="U26" s="141"/>
      <c r="V26" s="141"/>
      <c r="W26" s="133">
        <v>3.18</v>
      </c>
      <c r="X26" s="149"/>
      <c r="Y26" s="141">
        <v>1.0</v>
      </c>
      <c r="Z26" s="141">
        <v>5.0</v>
      </c>
      <c r="AA26" s="142">
        <f t="shared" si="4"/>
        <v>5</v>
      </c>
      <c r="AB26" s="141"/>
      <c r="AC26" s="141"/>
      <c r="AD26" s="141">
        <v>5.0</v>
      </c>
      <c r="AE26" s="143">
        <f t="shared" si="5"/>
        <v>4.17</v>
      </c>
      <c r="AF26" s="141"/>
      <c r="AG26" s="141"/>
      <c r="AH26" s="141"/>
      <c r="AI26" s="141"/>
      <c r="AJ26" s="146"/>
      <c r="AK26" s="154"/>
      <c r="AL26" s="132"/>
      <c r="AM26" s="132"/>
      <c r="AN26" s="146"/>
      <c r="AO26" s="143"/>
      <c r="AP26" s="147"/>
      <c r="AQ26" s="132"/>
      <c r="AR26" s="148"/>
      <c r="AS26" s="155"/>
    </row>
    <row r="27">
      <c r="A27" s="78">
        <v>25.0</v>
      </c>
      <c r="B27" s="78" t="s">
        <v>1049</v>
      </c>
      <c r="C27" s="79" t="s">
        <v>1050</v>
      </c>
      <c r="D27" s="102">
        <v>0.8</v>
      </c>
      <c r="E27" s="128">
        <v>3.5</v>
      </c>
      <c r="F27" s="129">
        <f t="shared" si="1"/>
        <v>4.3</v>
      </c>
      <c r="G27" s="138" t="s">
        <v>997</v>
      </c>
      <c r="H27" s="78"/>
      <c r="I27" s="78"/>
      <c r="J27" s="78"/>
      <c r="K27" s="129">
        <v>5.0</v>
      </c>
      <c r="L27" s="131"/>
      <c r="M27" s="132">
        <v>2.0</v>
      </c>
      <c r="N27" s="132">
        <v>4.0</v>
      </c>
      <c r="O27" s="133">
        <f t="shared" si="2"/>
        <v>5</v>
      </c>
      <c r="P27" s="134"/>
      <c r="Q27" s="136">
        <v>2.0</v>
      </c>
      <c r="R27" s="136">
        <v>4.0</v>
      </c>
      <c r="S27" s="137">
        <f t="shared" si="3"/>
        <v>5</v>
      </c>
      <c r="T27" s="138"/>
      <c r="U27" s="141"/>
      <c r="V27" s="141"/>
      <c r="W27" s="133">
        <v>1.43</v>
      </c>
      <c r="X27" s="156"/>
      <c r="Y27" s="141">
        <v>1.0</v>
      </c>
      <c r="Z27" s="141">
        <v>5.0</v>
      </c>
      <c r="AA27" s="142">
        <f t="shared" si="4"/>
        <v>5</v>
      </c>
      <c r="AB27" s="143"/>
      <c r="AC27" s="143">
        <v>1.0</v>
      </c>
      <c r="AD27" s="143">
        <v>5.0</v>
      </c>
      <c r="AE27" s="143">
        <f t="shared" si="5"/>
        <v>5</v>
      </c>
      <c r="AF27" s="143"/>
      <c r="AG27" s="143"/>
      <c r="AH27" s="151"/>
      <c r="AI27" s="151"/>
      <c r="AJ27" s="146"/>
      <c r="AK27" s="143"/>
      <c r="AL27" s="134"/>
      <c r="AM27" s="134"/>
      <c r="AN27" s="146"/>
      <c r="AO27" s="153"/>
      <c r="AP27" s="147"/>
      <c r="AQ27" s="134"/>
      <c r="AR27" s="148"/>
      <c r="AS27" s="153"/>
    </row>
    <row r="28">
      <c r="A28" s="78">
        <v>26.0</v>
      </c>
      <c r="B28" s="78" t="s">
        <v>1051</v>
      </c>
      <c r="C28" s="79" t="s">
        <v>1052</v>
      </c>
      <c r="D28" s="102">
        <v>0.7</v>
      </c>
      <c r="E28" s="128">
        <v>4.0</v>
      </c>
      <c r="F28" s="129">
        <f t="shared" si="1"/>
        <v>4.7</v>
      </c>
      <c r="G28" s="138"/>
      <c r="H28" s="78"/>
      <c r="I28" s="102"/>
      <c r="J28" s="78"/>
      <c r="K28" s="129">
        <v>5.0</v>
      </c>
      <c r="L28" s="131"/>
      <c r="M28" s="132">
        <v>2.0</v>
      </c>
      <c r="N28" s="132">
        <v>4.0</v>
      </c>
      <c r="O28" s="133">
        <f t="shared" si="2"/>
        <v>5</v>
      </c>
      <c r="P28" s="134"/>
      <c r="Q28" s="136">
        <v>2.0</v>
      </c>
      <c r="R28" s="136">
        <v>4.0</v>
      </c>
      <c r="S28" s="137">
        <f t="shared" si="3"/>
        <v>5</v>
      </c>
      <c r="T28" s="138"/>
      <c r="U28" s="139"/>
      <c r="V28" s="139"/>
      <c r="W28" s="133">
        <v>5.0</v>
      </c>
      <c r="X28" s="140"/>
      <c r="Y28" s="141">
        <v>1.0</v>
      </c>
      <c r="Z28" s="141">
        <v>5.0</v>
      </c>
      <c r="AA28" s="142">
        <f t="shared" si="4"/>
        <v>5</v>
      </c>
      <c r="AB28" s="143"/>
      <c r="AC28" s="143">
        <v>0.8</v>
      </c>
      <c r="AD28" s="143">
        <v>5.0</v>
      </c>
      <c r="AE28" s="143">
        <f t="shared" si="5"/>
        <v>4.83</v>
      </c>
      <c r="AF28" s="143"/>
      <c r="AG28" s="143"/>
      <c r="AH28" s="143"/>
      <c r="AI28" s="143"/>
      <c r="AJ28" s="146"/>
      <c r="AK28" s="143"/>
      <c r="AL28" s="152"/>
      <c r="AM28" s="152"/>
      <c r="AN28" s="146"/>
      <c r="AO28" s="143"/>
      <c r="AP28" s="153"/>
      <c r="AQ28" s="152"/>
      <c r="AR28" s="148"/>
      <c r="AS28" s="147"/>
    </row>
    <row r="29">
      <c r="A29" s="78">
        <v>27.0</v>
      </c>
      <c r="B29" s="78" t="s">
        <v>1053</v>
      </c>
      <c r="C29" s="79" t="s">
        <v>1054</v>
      </c>
      <c r="D29" s="102">
        <v>0.8</v>
      </c>
      <c r="E29" s="128">
        <v>4.0</v>
      </c>
      <c r="F29" s="129">
        <f t="shared" si="1"/>
        <v>4.8</v>
      </c>
      <c r="G29" s="138"/>
      <c r="H29" s="78"/>
      <c r="I29" s="102"/>
      <c r="J29" s="78"/>
      <c r="K29" s="129">
        <v>5.0</v>
      </c>
      <c r="L29" s="131"/>
      <c r="M29" s="132">
        <v>2.0</v>
      </c>
      <c r="N29" s="132">
        <v>4.0</v>
      </c>
      <c r="O29" s="133">
        <f t="shared" si="2"/>
        <v>5</v>
      </c>
      <c r="P29" s="134" t="s">
        <v>1055</v>
      </c>
      <c r="Q29" s="136">
        <v>2.0</v>
      </c>
      <c r="R29" s="136">
        <v>4.0</v>
      </c>
      <c r="S29" s="137">
        <f t="shared" si="3"/>
        <v>5</v>
      </c>
      <c r="T29" s="138"/>
      <c r="U29" s="141"/>
      <c r="V29" s="139"/>
      <c r="W29" s="133">
        <v>4.42</v>
      </c>
      <c r="X29" s="140"/>
      <c r="Y29" s="141">
        <v>1.0</v>
      </c>
      <c r="Z29" s="141">
        <v>5.0</v>
      </c>
      <c r="AA29" s="142">
        <f t="shared" si="4"/>
        <v>5</v>
      </c>
      <c r="AB29" s="151"/>
      <c r="AC29" s="143">
        <v>1.0</v>
      </c>
      <c r="AD29" s="143">
        <v>5.0</v>
      </c>
      <c r="AE29" s="143">
        <f t="shared" si="5"/>
        <v>5</v>
      </c>
      <c r="AF29" s="151"/>
      <c r="AG29" s="151"/>
      <c r="AH29" s="151"/>
      <c r="AI29" s="143"/>
      <c r="AJ29" s="146"/>
      <c r="AK29" s="152"/>
      <c r="AL29" s="152"/>
      <c r="AM29" s="134"/>
      <c r="AN29" s="146"/>
      <c r="AO29" s="143"/>
      <c r="AP29" s="147"/>
      <c r="AQ29" s="134"/>
      <c r="AR29" s="148"/>
      <c r="AS29" s="153"/>
    </row>
    <row r="30">
      <c r="A30" s="78">
        <v>28.0</v>
      </c>
      <c r="B30" s="78" t="s">
        <v>1056</v>
      </c>
      <c r="C30" s="79" t="s">
        <v>1057</v>
      </c>
      <c r="D30" s="102">
        <v>0.6</v>
      </c>
      <c r="E30" s="128">
        <v>3.5</v>
      </c>
      <c r="F30" s="129">
        <f t="shared" si="1"/>
        <v>4.1</v>
      </c>
      <c r="G30" s="138" t="s">
        <v>997</v>
      </c>
      <c r="H30" s="78"/>
      <c r="I30" s="78"/>
      <c r="J30" s="78"/>
      <c r="K30" s="129">
        <v>5.0</v>
      </c>
      <c r="L30" s="131"/>
      <c r="M30" s="132">
        <v>2.0</v>
      </c>
      <c r="N30" s="132">
        <v>4.0</v>
      </c>
      <c r="O30" s="133">
        <f t="shared" si="2"/>
        <v>5</v>
      </c>
      <c r="P30" s="134"/>
      <c r="Q30" s="136">
        <v>2.0</v>
      </c>
      <c r="R30" s="136">
        <v>4.0</v>
      </c>
      <c r="S30" s="137">
        <f t="shared" si="3"/>
        <v>5</v>
      </c>
      <c r="T30" s="138"/>
      <c r="U30" s="139"/>
      <c r="V30" s="139"/>
      <c r="W30" s="133">
        <v>5.0</v>
      </c>
      <c r="X30" s="140"/>
      <c r="Y30" s="141">
        <v>0.0</v>
      </c>
      <c r="Z30" s="141">
        <v>5.0</v>
      </c>
      <c r="AA30" s="142">
        <f t="shared" si="4"/>
        <v>4.17</v>
      </c>
      <c r="AB30" s="143" t="s">
        <v>1058</v>
      </c>
      <c r="AC30" s="143">
        <v>1.0</v>
      </c>
      <c r="AD30" s="143">
        <v>5.0</v>
      </c>
      <c r="AE30" s="143">
        <f t="shared" si="5"/>
        <v>5</v>
      </c>
      <c r="AF30" s="143"/>
      <c r="AG30" s="143"/>
      <c r="AH30" s="143"/>
      <c r="AI30" s="143"/>
      <c r="AJ30" s="146"/>
      <c r="AK30" s="143"/>
      <c r="AL30" s="152"/>
      <c r="AM30" s="152"/>
      <c r="AN30" s="146"/>
      <c r="AO30" s="143"/>
      <c r="AP30" s="153"/>
      <c r="AQ30" s="152"/>
      <c r="AR30" s="148"/>
      <c r="AS30" s="147"/>
    </row>
    <row r="31">
      <c r="A31" s="78">
        <v>29.0</v>
      </c>
      <c r="B31" s="78" t="s">
        <v>1059</v>
      </c>
      <c r="C31" s="79" t="s">
        <v>1060</v>
      </c>
      <c r="D31" s="102">
        <v>0.8</v>
      </c>
      <c r="E31" s="128">
        <v>3.5</v>
      </c>
      <c r="F31" s="129">
        <f t="shared" si="1"/>
        <v>4.3</v>
      </c>
      <c r="G31" s="138" t="s">
        <v>997</v>
      </c>
      <c r="H31" s="78"/>
      <c r="I31" s="102"/>
      <c r="J31" s="78"/>
      <c r="K31" s="129">
        <v>4.81</v>
      </c>
      <c r="L31" s="131"/>
      <c r="M31" s="132">
        <v>2.0</v>
      </c>
      <c r="N31" s="132">
        <v>4.0</v>
      </c>
      <c r="O31" s="133">
        <f t="shared" si="2"/>
        <v>5</v>
      </c>
      <c r="P31" s="134"/>
      <c r="Q31" s="136">
        <v>2.0</v>
      </c>
      <c r="R31" s="136">
        <v>4.0</v>
      </c>
      <c r="S31" s="137">
        <f t="shared" si="3"/>
        <v>5</v>
      </c>
      <c r="T31" s="138"/>
      <c r="U31" s="139"/>
      <c r="V31" s="139"/>
      <c r="W31" s="133">
        <v>5.0</v>
      </c>
      <c r="X31" s="140"/>
      <c r="Y31" s="141">
        <v>1.0</v>
      </c>
      <c r="Z31" s="141">
        <v>5.0</v>
      </c>
      <c r="AA31" s="142">
        <f t="shared" si="4"/>
        <v>5</v>
      </c>
      <c r="AB31" s="143"/>
      <c r="AC31" s="143">
        <v>1.0</v>
      </c>
      <c r="AD31" s="143">
        <v>5.0</v>
      </c>
      <c r="AE31" s="143">
        <f t="shared" si="5"/>
        <v>5</v>
      </c>
      <c r="AF31" s="143"/>
      <c r="AG31" s="143"/>
      <c r="AH31" s="143"/>
      <c r="AI31" s="143"/>
      <c r="AJ31" s="146"/>
      <c r="AK31" s="143"/>
      <c r="AL31" s="152"/>
      <c r="AM31" s="152"/>
      <c r="AN31" s="146"/>
      <c r="AO31" s="143"/>
      <c r="AP31" s="153"/>
      <c r="AQ31" s="152"/>
      <c r="AR31" s="148"/>
      <c r="AS31" s="147"/>
    </row>
    <row r="32">
      <c r="A32" s="78">
        <v>30.0</v>
      </c>
      <c r="B32" s="78" t="s">
        <v>1061</v>
      </c>
      <c r="C32" s="79" t="s">
        <v>1062</v>
      </c>
      <c r="D32" s="102">
        <v>0.7</v>
      </c>
      <c r="E32" s="128">
        <v>4.0</v>
      </c>
      <c r="F32" s="129">
        <f t="shared" si="1"/>
        <v>4.7</v>
      </c>
      <c r="G32" s="130"/>
      <c r="H32" s="78"/>
      <c r="I32" s="78"/>
      <c r="J32" s="78"/>
      <c r="K32" s="129">
        <v>5.0</v>
      </c>
      <c r="L32" s="131"/>
      <c r="M32" s="132">
        <v>2.0</v>
      </c>
      <c r="N32" s="132">
        <v>3.0</v>
      </c>
      <c r="O32" s="133">
        <f t="shared" si="2"/>
        <v>4.17</v>
      </c>
      <c r="P32" s="134" t="s">
        <v>1063</v>
      </c>
      <c r="Q32" s="136">
        <v>2.0</v>
      </c>
      <c r="R32" s="136">
        <v>4.0</v>
      </c>
      <c r="S32" s="137">
        <f t="shared" si="3"/>
        <v>5</v>
      </c>
      <c r="T32" s="138"/>
      <c r="U32" s="139"/>
      <c r="V32" s="139"/>
      <c r="W32" s="133">
        <v>4.29</v>
      </c>
      <c r="X32" s="140"/>
      <c r="Y32" s="141">
        <v>1.0</v>
      </c>
      <c r="Z32" s="141">
        <v>4.8</v>
      </c>
      <c r="AA32" s="142">
        <f t="shared" si="4"/>
        <v>4.83</v>
      </c>
      <c r="AB32" s="143" t="s">
        <v>1002</v>
      </c>
      <c r="AC32" s="143">
        <v>1.0</v>
      </c>
      <c r="AD32" s="143">
        <v>5.0</v>
      </c>
      <c r="AE32" s="143">
        <f t="shared" si="5"/>
        <v>5</v>
      </c>
      <c r="AF32" s="143"/>
      <c r="AG32" s="143"/>
      <c r="AH32" s="143"/>
      <c r="AI32" s="143"/>
      <c r="AJ32" s="146"/>
      <c r="AK32" s="143"/>
      <c r="AL32" s="152"/>
      <c r="AM32" s="152"/>
      <c r="AN32" s="146"/>
      <c r="AO32" s="143"/>
      <c r="AP32" s="153"/>
      <c r="AQ32" s="152"/>
      <c r="AR32" s="148"/>
      <c r="AS32" s="147"/>
    </row>
    <row r="33">
      <c r="A33" s="78">
        <v>31.0</v>
      </c>
      <c r="B33" s="78" t="s">
        <v>1064</v>
      </c>
      <c r="C33" s="79" t="s">
        <v>1065</v>
      </c>
      <c r="D33" s="102"/>
      <c r="E33" s="149"/>
      <c r="F33" s="129">
        <f t="shared" si="1"/>
        <v>0</v>
      </c>
      <c r="G33" s="138" t="s">
        <v>991</v>
      </c>
      <c r="H33" s="78"/>
      <c r="I33" s="102"/>
      <c r="J33" s="78"/>
      <c r="K33" s="129"/>
      <c r="L33" s="131"/>
      <c r="M33" s="132"/>
      <c r="N33" s="132"/>
      <c r="O33" s="133">
        <f t="shared" si="2"/>
        <v>0</v>
      </c>
      <c r="P33" s="134" t="s">
        <v>985</v>
      </c>
      <c r="Q33" s="135"/>
      <c r="R33" s="136"/>
      <c r="S33" s="137">
        <f t="shared" si="3"/>
        <v>0</v>
      </c>
      <c r="T33" s="138" t="s">
        <v>985</v>
      </c>
      <c r="U33" s="141"/>
      <c r="V33" s="139"/>
      <c r="W33" s="133"/>
      <c r="X33" s="140"/>
      <c r="Y33" s="139"/>
      <c r="Z33" s="141"/>
      <c r="AA33" s="142">
        <f t="shared" si="4"/>
        <v>0</v>
      </c>
      <c r="AB33" s="143" t="s">
        <v>985</v>
      </c>
      <c r="AC33" s="143"/>
      <c r="AD33" s="143"/>
      <c r="AE33" s="143">
        <f t="shared" si="5"/>
        <v>0</v>
      </c>
      <c r="AF33" s="143"/>
      <c r="AG33" s="143"/>
      <c r="AH33" s="141"/>
      <c r="AI33" s="141"/>
      <c r="AJ33" s="146"/>
      <c r="AK33" s="134"/>
      <c r="AL33" s="134"/>
      <c r="AM33" s="134"/>
      <c r="AN33" s="146"/>
      <c r="AO33" s="143"/>
      <c r="AP33" s="147"/>
      <c r="AQ33" s="134"/>
      <c r="AR33" s="148"/>
      <c r="AS33" s="147"/>
    </row>
    <row r="34">
      <c r="A34" s="78">
        <v>32.0</v>
      </c>
      <c r="B34" s="78" t="s">
        <v>1066</v>
      </c>
      <c r="C34" s="79" t="s">
        <v>1067</v>
      </c>
      <c r="D34" s="102">
        <v>0.75</v>
      </c>
      <c r="E34" s="149"/>
      <c r="F34" s="129">
        <f t="shared" si="1"/>
        <v>0.75</v>
      </c>
      <c r="G34" s="138" t="s">
        <v>988</v>
      </c>
      <c r="H34" s="78"/>
      <c r="I34" s="78"/>
      <c r="J34" s="78"/>
      <c r="K34" s="129">
        <v>1.245</v>
      </c>
      <c r="L34" s="131"/>
      <c r="M34" s="150"/>
      <c r="N34" s="150"/>
      <c r="O34" s="133">
        <f t="shared" si="2"/>
        <v>0</v>
      </c>
      <c r="P34" s="134" t="s">
        <v>985</v>
      </c>
      <c r="Q34" s="136"/>
      <c r="R34" s="136"/>
      <c r="S34" s="137">
        <f t="shared" si="3"/>
        <v>0</v>
      </c>
      <c r="T34" s="138" t="s">
        <v>985</v>
      </c>
      <c r="U34" s="139"/>
      <c r="V34" s="139"/>
      <c r="W34" s="133"/>
      <c r="X34" s="140"/>
      <c r="Y34" s="141">
        <v>1.0</v>
      </c>
      <c r="Z34" s="139"/>
      <c r="AA34" s="142">
        <f t="shared" si="4"/>
        <v>0.83</v>
      </c>
      <c r="AB34" s="143"/>
      <c r="AC34" s="143">
        <v>1.0</v>
      </c>
      <c r="AD34" s="143"/>
      <c r="AE34" s="143">
        <f t="shared" si="5"/>
        <v>0.83</v>
      </c>
      <c r="AF34" s="143"/>
      <c r="AG34" s="143"/>
      <c r="AH34" s="143"/>
      <c r="AI34" s="143"/>
      <c r="AJ34" s="146"/>
      <c r="AK34" s="143"/>
      <c r="AL34" s="152"/>
      <c r="AM34" s="152"/>
      <c r="AN34" s="146"/>
      <c r="AO34" s="143"/>
      <c r="AP34" s="147"/>
      <c r="AQ34" s="134"/>
      <c r="AR34" s="148"/>
      <c r="AS34" s="147"/>
    </row>
    <row r="35">
      <c r="A35" s="78">
        <v>33.0</v>
      </c>
      <c r="B35" s="78" t="s">
        <v>1068</v>
      </c>
      <c r="C35" s="79" t="s">
        <v>1069</v>
      </c>
      <c r="D35" s="102">
        <v>1.0</v>
      </c>
      <c r="E35" s="128">
        <v>4.0</v>
      </c>
      <c r="F35" s="129">
        <f t="shared" si="1"/>
        <v>5</v>
      </c>
      <c r="G35" s="130"/>
      <c r="H35" s="102"/>
      <c r="I35" s="102"/>
      <c r="J35" s="78"/>
      <c r="K35" s="129">
        <v>5.0</v>
      </c>
      <c r="L35" s="131"/>
      <c r="M35" s="132">
        <v>2.0</v>
      </c>
      <c r="N35" s="132">
        <v>4.0</v>
      </c>
      <c r="O35" s="133">
        <f t="shared" si="2"/>
        <v>5</v>
      </c>
      <c r="P35" s="134"/>
      <c r="Q35" s="135"/>
      <c r="R35" s="135"/>
      <c r="S35" s="137">
        <f t="shared" si="3"/>
        <v>0</v>
      </c>
      <c r="T35" s="138" t="s">
        <v>985</v>
      </c>
      <c r="U35" s="139"/>
      <c r="V35" s="139"/>
      <c r="W35" s="133"/>
      <c r="X35" s="140"/>
      <c r="Y35" s="139"/>
      <c r="Z35" s="139"/>
      <c r="AA35" s="142">
        <f t="shared" si="4"/>
        <v>0</v>
      </c>
      <c r="AB35" s="143" t="s">
        <v>985</v>
      </c>
      <c r="AC35" s="143"/>
      <c r="AD35" s="143"/>
      <c r="AE35" s="143">
        <f t="shared" si="5"/>
        <v>0</v>
      </c>
      <c r="AF35" s="143"/>
      <c r="AG35" s="143"/>
      <c r="AH35" s="143"/>
      <c r="AI35" s="143"/>
      <c r="AJ35" s="146"/>
      <c r="AK35" s="143"/>
      <c r="AL35" s="152"/>
      <c r="AM35" s="152"/>
      <c r="AN35" s="146"/>
      <c r="AO35" s="143"/>
      <c r="AP35" s="147"/>
      <c r="AQ35" s="152"/>
      <c r="AR35" s="148"/>
      <c r="AS35" s="147"/>
    </row>
    <row r="36">
      <c r="A36" s="78">
        <v>34.0</v>
      </c>
      <c r="B36" s="78" t="s">
        <v>1070</v>
      </c>
      <c r="C36" s="79" t="s">
        <v>1071</v>
      </c>
      <c r="D36" s="78"/>
      <c r="E36" s="128">
        <v>4.0</v>
      </c>
      <c r="F36" s="129">
        <f t="shared" si="1"/>
        <v>4</v>
      </c>
      <c r="G36" s="138" t="s">
        <v>1072</v>
      </c>
      <c r="H36" s="78"/>
      <c r="I36" s="78"/>
      <c r="J36" s="78"/>
      <c r="K36" s="129">
        <v>4.16</v>
      </c>
      <c r="L36" s="157"/>
      <c r="M36" s="150"/>
      <c r="N36" s="150"/>
      <c r="O36" s="133">
        <f t="shared" si="2"/>
        <v>0</v>
      </c>
      <c r="P36" s="134" t="s">
        <v>985</v>
      </c>
      <c r="Q36" s="135"/>
      <c r="R36" s="135"/>
      <c r="S36" s="137">
        <f t="shared" si="3"/>
        <v>0</v>
      </c>
      <c r="T36" s="138" t="s">
        <v>985</v>
      </c>
      <c r="U36" s="141"/>
      <c r="V36" s="141"/>
      <c r="W36" s="133">
        <v>1.428</v>
      </c>
      <c r="X36" s="149"/>
      <c r="Y36" s="139"/>
      <c r="Z36" s="141">
        <v>4.0</v>
      </c>
      <c r="AA36" s="142">
        <f t="shared" si="4"/>
        <v>3.33</v>
      </c>
      <c r="AB36" s="143" t="s">
        <v>1073</v>
      </c>
      <c r="AC36" s="143"/>
      <c r="AD36" s="143"/>
      <c r="AE36" s="143">
        <f t="shared" si="5"/>
        <v>0</v>
      </c>
      <c r="AF36" s="143"/>
      <c r="AG36" s="143"/>
      <c r="AH36" s="143"/>
      <c r="AI36" s="143"/>
      <c r="AJ36" s="146"/>
      <c r="AK36" s="143"/>
      <c r="AL36" s="150"/>
      <c r="AM36" s="150"/>
      <c r="AN36" s="146"/>
      <c r="AO36" s="143"/>
      <c r="AP36" s="158"/>
      <c r="AQ36" s="150"/>
      <c r="AR36" s="148"/>
      <c r="AS36" s="147"/>
    </row>
    <row r="37">
      <c r="A37" s="78">
        <v>35.0</v>
      </c>
      <c r="B37" s="78" t="s">
        <v>1074</v>
      </c>
      <c r="C37" s="79" t="s">
        <v>1075</v>
      </c>
      <c r="D37" s="102">
        <v>0.7</v>
      </c>
      <c r="E37" s="128">
        <v>3.9</v>
      </c>
      <c r="F37" s="129">
        <f t="shared" si="1"/>
        <v>4.6</v>
      </c>
      <c r="G37" s="138" t="s">
        <v>1076</v>
      </c>
      <c r="H37" s="102"/>
      <c r="I37" s="102"/>
      <c r="J37" s="78"/>
      <c r="K37" s="129">
        <v>3.33</v>
      </c>
      <c r="L37" s="157"/>
      <c r="M37" s="132"/>
      <c r="N37" s="132">
        <v>4.0</v>
      </c>
      <c r="O37" s="133">
        <f t="shared" si="2"/>
        <v>3.33</v>
      </c>
      <c r="P37" s="152"/>
      <c r="Q37" s="136"/>
      <c r="R37" s="136">
        <v>4.0</v>
      </c>
      <c r="S37" s="137">
        <f t="shared" si="3"/>
        <v>3.33</v>
      </c>
      <c r="T37" s="138"/>
      <c r="U37" s="141"/>
      <c r="V37" s="141"/>
      <c r="W37" s="133">
        <v>3.57</v>
      </c>
      <c r="X37" s="140"/>
      <c r="Y37" s="141"/>
      <c r="Z37" s="141">
        <v>5.0</v>
      </c>
      <c r="AA37" s="142">
        <f t="shared" si="4"/>
        <v>4.17</v>
      </c>
      <c r="AB37" s="143"/>
      <c r="AC37" s="143"/>
      <c r="AD37" s="143">
        <v>5.0</v>
      </c>
      <c r="AE37" s="143">
        <f t="shared" si="5"/>
        <v>4.17</v>
      </c>
      <c r="AF37" s="143"/>
      <c r="AG37" s="143"/>
      <c r="AH37" s="143"/>
      <c r="AI37" s="143"/>
      <c r="AJ37" s="146"/>
      <c r="AK37" s="143"/>
      <c r="AL37" s="152"/>
      <c r="AM37" s="134"/>
      <c r="AN37" s="146"/>
      <c r="AO37" s="143"/>
      <c r="AP37" s="147"/>
      <c r="AQ37" s="134"/>
      <c r="AR37" s="148"/>
      <c r="AS37" s="153"/>
    </row>
    <row r="38">
      <c r="A38" s="78">
        <v>36.0</v>
      </c>
      <c r="B38" s="78" t="s">
        <v>1077</v>
      </c>
      <c r="C38" s="79" t="s">
        <v>1078</v>
      </c>
      <c r="D38" s="102"/>
      <c r="E38" s="102">
        <v>3.5</v>
      </c>
      <c r="F38" s="129">
        <f t="shared" si="1"/>
        <v>3.5</v>
      </c>
      <c r="G38" s="138" t="s">
        <v>1079</v>
      </c>
      <c r="H38" s="102"/>
      <c r="I38" s="102"/>
      <c r="J38" s="78"/>
      <c r="K38" s="129"/>
      <c r="L38" s="157"/>
      <c r="M38" s="150"/>
      <c r="N38" s="132"/>
      <c r="O38" s="133">
        <f t="shared" si="2"/>
        <v>0</v>
      </c>
      <c r="P38" s="134" t="s">
        <v>985</v>
      </c>
      <c r="Q38" s="136"/>
      <c r="R38" s="136"/>
      <c r="S38" s="137">
        <f t="shared" si="3"/>
        <v>0</v>
      </c>
      <c r="T38" s="138" t="s">
        <v>985</v>
      </c>
      <c r="U38" s="141"/>
      <c r="V38" s="139"/>
      <c r="W38" s="133"/>
      <c r="X38" s="140"/>
      <c r="Y38" s="139"/>
      <c r="Z38" s="159"/>
      <c r="AA38" s="142">
        <f t="shared" si="4"/>
        <v>0</v>
      </c>
      <c r="AB38" s="143" t="s">
        <v>985</v>
      </c>
      <c r="AC38" s="143"/>
      <c r="AD38" s="143"/>
      <c r="AE38" s="143">
        <f t="shared" si="5"/>
        <v>0</v>
      </c>
      <c r="AF38" s="143"/>
      <c r="AG38" s="143"/>
      <c r="AH38" s="143"/>
      <c r="AI38" s="143"/>
      <c r="AJ38" s="146"/>
      <c r="AK38" s="143"/>
      <c r="AL38" s="152"/>
      <c r="AM38" s="152"/>
      <c r="AN38" s="146"/>
      <c r="AO38" s="153"/>
      <c r="AP38" s="153"/>
      <c r="AQ38" s="152"/>
      <c r="AR38" s="148"/>
      <c r="AS38" s="147"/>
    </row>
    <row r="39">
      <c r="A39" s="78">
        <v>37.0</v>
      </c>
      <c r="B39" s="78" t="s">
        <v>1080</v>
      </c>
      <c r="C39" s="79" t="s">
        <v>1081</v>
      </c>
      <c r="D39" s="102"/>
      <c r="E39" s="149"/>
      <c r="F39" s="129">
        <f t="shared" si="1"/>
        <v>0</v>
      </c>
      <c r="G39" s="138" t="s">
        <v>991</v>
      </c>
      <c r="H39" s="102"/>
      <c r="I39" s="102"/>
      <c r="J39" s="78"/>
      <c r="K39" s="129">
        <v>3.33</v>
      </c>
      <c r="L39" s="131"/>
      <c r="M39" s="132"/>
      <c r="N39" s="132">
        <v>4.0</v>
      </c>
      <c r="O39" s="133">
        <f t="shared" si="2"/>
        <v>3.33</v>
      </c>
      <c r="P39" s="134" t="s">
        <v>984</v>
      </c>
      <c r="Q39" s="135"/>
      <c r="R39" s="136"/>
      <c r="S39" s="137">
        <f t="shared" si="3"/>
        <v>0</v>
      </c>
      <c r="T39" s="138" t="s">
        <v>985</v>
      </c>
      <c r="U39" s="139"/>
      <c r="V39" s="139"/>
      <c r="W39" s="133"/>
      <c r="X39" s="140"/>
      <c r="Y39" s="139"/>
      <c r="Z39" s="139"/>
      <c r="AA39" s="142">
        <f t="shared" si="4"/>
        <v>0</v>
      </c>
      <c r="AB39" s="143" t="s">
        <v>985</v>
      </c>
      <c r="AC39" s="143"/>
      <c r="AD39" s="143"/>
      <c r="AE39" s="143">
        <f t="shared" si="5"/>
        <v>0</v>
      </c>
      <c r="AF39" s="143"/>
      <c r="AG39" s="143"/>
      <c r="AH39" s="143"/>
      <c r="AI39" s="143"/>
      <c r="AJ39" s="146"/>
      <c r="AK39" s="143"/>
      <c r="AL39" s="134"/>
      <c r="AM39" s="134"/>
      <c r="AN39" s="146"/>
      <c r="AO39" s="143"/>
      <c r="AP39" s="147"/>
      <c r="AQ39" s="134"/>
      <c r="AR39" s="148"/>
      <c r="AS39" s="147"/>
    </row>
    <row r="40">
      <c r="A40" s="160"/>
      <c r="B40" s="160"/>
      <c r="C40" s="160"/>
      <c r="D40" s="78"/>
      <c r="E40" s="149"/>
      <c r="F40" s="129"/>
      <c r="G40" s="130"/>
      <c r="H40" s="78"/>
      <c r="I40" s="78"/>
      <c r="J40" s="78"/>
      <c r="K40" s="129"/>
      <c r="L40" s="131"/>
      <c r="M40" s="150"/>
      <c r="N40" s="150"/>
      <c r="O40" s="133"/>
      <c r="P40" s="134"/>
      <c r="Q40" s="135"/>
      <c r="R40" s="135"/>
      <c r="S40" s="137"/>
      <c r="T40" s="138"/>
      <c r="U40" s="139"/>
      <c r="V40" s="139"/>
      <c r="W40" s="133"/>
      <c r="X40" s="140"/>
      <c r="Y40" s="139"/>
      <c r="Z40" s="139"/>
      <c r="AA40" s="161"/>
      <c r="AB40" s="143"/>
      <c r="AC40" s="143"/>
      <c r="AD40" s="143"/>
      <c r="AE40" s="143"/>
      <c r="AF40" s="143"/>
      <c r="AG40" s="143"/>
      <c r="AH40" s="143"/>
      <c r="AI40" s="143"/>
      <c r="AJ40" s="146"/>
      <c r="AK40" s="143"/>
      <c r="AL40" s="134"/>
      <c r="AM40" s="134"/>
      <c r="AN40" s="146"/>
      <c r="AO40" s="143"/>
      <c r="AP40" s="147"/>
      <c r="AQ40" s="134"/>
      <c r="AR40" s="148"/>
      <c r="AS40" s="147"/>
    </row>
    <row r="41">
      <c r="A41" s="160"/>
      <c r="B41" s="160"/>
      <c r="C41" s="160"/>
      <c r="D41" s="102"/>
      <c r="E41" s="149"/>
      <c r="F41" s="129"/>
      <c r="G41" s="138"/>
      <c r="H41" s="102"/>
      <c r="I41" s="78"/>
      <c r="J41" s="78"/>
      <c r="K41" s="129"/>
      <c r="L41" s="131"/>
      <c r="M41" s="150"/>
      <c r="N41" s="132"/>
      <c r="O41" s="133"/>
      <c r="P41" s="134"/>
      <c r="Q41" s="136"/>
      <c r="R41" s="135"/>
      <c r="S41" s="137"/>
      <c r="T41" s="138"/>
      <c r="U41" s="139"/>
      <c r="V41" s="139"/>
      <c r="W41" s="133"/>
      <c r="X41" s="140"/>
      <c r="Y41" s="139"/>
      <c r="Z41" s="139"/>
      <c r="AA41" s="161"/>
      <c r="AB41" s="143"/>
      <c r="AC41" s="143"/>
      <c r="AD41" s="143"/>
      <c r="AE41" s="143"/>
      <c r="AF41" s="143"/>
      <c r="AG41" s="143"/>
      <c r="AH41" s="143"/>
      <c r="AI41" s="143"/>
      <c r="AJ41" s="146"/>
      <c r="AK41" s="143"/>
      <c r="AL41" s="134"/>
      <c r="AM41" s="134"/>
      <c r="AN41" s="146"/>
      <c r="AO41" s="143"/>
      <c r="AP41" s="147"/>
      <c r="AQ41" s="134"/>
      <c r="AR41" s="148"/>
      <c r="AS41" s="147"/>
    </row>
    <row r="42">
      <c r="A42" s="160"/>
      <c r="B42" s="160"/>
      <c r="C42" s="160"/>
      <c r="D42" s="78"/>
      <c r="E42" s="149"/>
      <c r="F42" s="129"/>
      <c r="G42" s="130"/>
      <c r="H42" s="78"/>
      <c r="I42" s="78"/>
      <c r="J42" s="78"/>
      <c r="K42" s="129"/>
      <c r="L42" s="131"/>
      <c r="M42" s="150"/>
      <c r="N42" s="150"/>
      <c r="O42" s="133"/>
      <c r="P42" s="134"/>
      <c r="Q42" s="135"/>
      <c r="R42" s="135"/>
      <c r="S42" s="137"/>
      <c r="T42" s="138"/>
      <c r="U42" s="139"/>
      <c r="V42" s="139"/>
      <c r="W42" s="133"/>
      <c r="X42" s="140"/>
      <c r="Y42" s="139"/>
      <c r="Z42" s="139"/>
      <c r="AA42" s="161"/>
      <c r="AB42" s="143"/>
      <c r="AC42" s="143"/>
      <c r="AD42" s="143"/>
      <c r="AE42" s="143"/>
      <c r="AF42" s="143"/>
      <c r="AG42" s="143"/>
      <c r="AH42" s="143"/>
      <c r="AI42" s="143"/>
      <c r="AJ42" s="146"/>
      <c r="AK42" s="143"/>
      <c r="AL42" s="134"/>
      <c r="AM42" s="134"/>
      <c r="AN42" s="146"/>
      <c r="AO42" s="143"/>
      <c r="AP42" s="147"/>
      <c r="AQ42" s="134"/>
      <c r="AR42" s="148"/>
      <c r="AS42" s="147"/>
    </row>
    <row r="43">
      <c r="A43" s="160"/>
      <c r="B43" s="160"/>
      <c r="C43" s="160"/>
      <c r="D43" s="102"/>
      <c r="E43" s="149"/>
      <c r="F43" s="129"/>
      <c r="G43" s="130"/>
      <c r="H43" s="78"/>
      <c r="I43" s="102"/>
      <c r="J43" s="78"/>
      <c r="K43" s="129"/>
      <c r="L43" s="131"/>
      <c r="M43" s="132"/>
      <c r="N43" s="132"/>
      <c r="O43" s="133"/>
      <c r="P43" s="134"/>
      <c r="Q43" s="135"/>
      <c r="R43" s="136"/>
      <c r="S43" s="137"/>
      <c r="T43" s="138"/>
      <c r="U43" s="141"/>
      <c r="V43" s="139"/>
      <c r="W43" s="133"/>
      <c r="X43" s="140"/>
      <c r="Y43" s="141"/>
      <c r="Z43" s="141"/>
      <c r="AA43" s="161"/>
      <c r="AB43" s="151"/>
      <c r="AC43" s="151"/>
      <c r="AD43" s="151"/>
      <c r="AE43" s="151"/>
      <c r="AF43" s="151"/>
      <c r="AG43" s="151"/>
      <c r="AH43" s="143"/>
      <c r="AI43" s="143"/>
      <c r="AJ43" s="146"/>
      <c r="AK43" s="152"/>
      <c r="AL43" s="152"/>
      <c r="AM43" s="134"/>
      <c r="AN43" s="146"/>
      <c r="AO43" s="143"/>
      <c r="AP43" s="147"/>
      <c r="AQ43" s="134"/>
      <c r="AR43" s="148"/>
      <c r="AS43" s="153"/>
    </row>
    <row r="44">
      <c r="A44" s="160"/>
      <c r="B44" s="160"/>
      <c r="C44" s="160"/>
      <c r="D44" s="102"/>
      <c r="E44" s="149"/>
      <c r="F44" s="129"/>
      <c r="G44" s="130"/>
      <c r="H44" s="102"/>
      <c r="I44" s="102"/>
      <c r="J44" s="78"/>
      <c r="K44" s="129"/>
      <c r="L44" s="131"/>
      <c r="M44" s="150"/>
      <c r="N44" s="132"/>
      <c r="O44" s="133"/>
      <c r="P44" s="134"/>
      <c r="Q44" s="136"/>
      <c r="R44" s="136"/>
      <c r="S44" s="137"/>
      <c r="T44" s="130"/>
      <c r="U44" s="141"/>
      <c r="V44" s="141"/>
      <c r="W44" s="133"/>
      <c r="X44" s="149"/>
      <c r="Y44" s="139"/>
      <c r="Z44" s="141"/>
      <c r="AA44" s="161"/>
      <c r="AB44" s="141"/>
      <c r="AC44" s="141"/>
      <c r="AD44" s="141"/>
      <c r="AE44" s="141"/>
      <c r="AF44" s="141"/>
      <c r="AG44" s="141"/>
      <c r="AH44" s="141"/>
      <c r="AI44" s="141"/>
      <c r="AJ44" s="146"/>
      <c r="AK44" s="154"/>
      <c r="AL44" s="132"/>
      <c r="AM44" s="132"/>
      <c r="AN44" s="146"/>
      <c r="AO44" s="143"/>
      <c r="AP44" s="147"/>
      <c r="AQ44" s="132"/>
      <c r="AR44" s="148"/>
      <c r="AS44" s="155"/>
    </row>
    <row r="45">
      <c r="A45" s="160"/>
      <c r="B45" s="160"/>
      <c r="C45" s="160"/>
      <c r="D45" s="78"/>
      <c r="E45" s="149"/>
      <c r="F45" s="129"/>
      <c r="G45" s="130"/>
      <c r="H45" s="78"/>
      <c r="I45" s="78"/>
      <c r="J45" s="78"/>
      <c r="K45" s="129"/>
      <c r="L45" s="131"/>
      <c r="M45" s="150"/>
      <c r="N45" s="150"/>
      <c r="O45" s="133"/>
      <c r="P45" s="134"/>
      <c r="Q45" s="135"/>
      <c r="R45" s="135"/>
      <c r="S45" s="137"/>
      <c r="T45" s="138"/>
      <c r="U45" s="141"/>
      <c r="V45" s="141"/>
      <c r="W45" s="133"/>
      <c r="X45" s="156"/>
      <c r="Y45" s="141"/>
      <c r="Z45" s="141"/>
      <c r="AA45" s="161"/>
      <c r="AB45" s="151"/>
      <c r="AC45" s="151"/>
      <c r="AD45" s="151"/>
      <c r="AE45" s="151"/>
      <c r="AF45" s="151"/>
      <c r="AG45" s="151"/>
      <c r="AH45" s="151"/>
      <c r="AI45" s="151"/>
      <c r="AJ45" s="146"/>
      <c r="AK45" s="143"/>
      <c r="AL45" s="134"/>
      <c r="AM45" s="134"/>
      <c r="AN45" s="146"/>
      <c r="AO45" s="153"/>
      <c r="AP45" s="147"/>
      <c r="AQ45" s="134"/>
      <c r="AR45" s="148"/>
      <c r="AS45" s="153"/>
    </row>
    <row r="46">
      <c r="A46" s="160"/>
      <c r="B46" s="160"/>
      <c r="C46" s="160"/>
      <c r="D46" s="102"/>
      <c r="E46" s="149"/>
      <c r="F46" s="129"/>
      <c r="G46" s="138"/>
      <c r="H46" s="78"/>
      <c r="I46" s="102"/>
      <c r="J46" s="78"/>
      <c r="K46" s="129"/>
      <c r="L46" s="131"/>
      <c r="M46" s="150"/>
      <c r="N46" s="150"/>
      <c r="O46" s="133"/>
      <c r="P46" s="134"/>
      <c r="Q46" s="135"/>
      <c r="R46" s="135"/>
      <c r="S46" s="137"/>
      <c r="T46" s="138"/>
      <c r="U46" s="139"/>
      <c r="V46" s="139"/>
      <c r="W46" s="133"/>
      <c r="X46" s="140"/>
      <c r="Y46" s="141"/>
      <c r="Z46" s="139"/>
      <c r="AA46" s="161"/>
      <c r="AB46" s="143"/>
      <c r="AC46" s="143"/>
      <c r="AD46" s="143"/>
      <c r="AE46" s="143"/>
      <c r="AF46" s="143"/>
      <c r="AG46" s="143"/>
      <c r="AH46" s="143"/>
      <c r="AI46" s="143"/>
      <c r="AJ46" s="146"/>
      <c r="AK46" s="143"/>
      <c r="AL46" s="152"/>
      <c r="AM46" s="152"/>
      <c r="AN46" s="146"/>
      <c r="AO46" s="143"/>
      <c r="AP46" s="153"/>
      <c r="AQ46" s="152"/>
      <c r="AR46" s="148"/>
      <c r="AS46" s="147"/>
    </row>
    <row r="47">
      <c r="A47" s="160"/>
      <c r="B47" s="160"/>
      <c r="C47" s="160"/>
      <c r="D47" s="102"/>
      <c r="E47" s="149"/>
      <c r="F47" s="129"/>
      <c r="G47" s="130"/>
      <c r="H47" s="78"/>
      <c r="I47" s="102"/>
      <c r="J47" s="78"/>
      <c r="K47" s="129"/>
      <c r="L47" s="131"/>
      <c r="M47" s="150"/>
      <c r="N47" s="132"/>
      <c r="O47" s="133"/>
      <c r="P47" s="134"/>
      <c r="Q47" s="135"/>
      <c r="R47" s="136"/>
      <c r="S47" s="137"/>
      <c r="T47" s="138"/>
      <c r="U47" s="141"/>
      <c r="V47" s="139"/>
      <c r="W47" s="133"/>
      <c r="X47" s="140"/>
      <c r="Y47" s="141"/>
      <c r="Z47" s="141"/>
      <c r="AA47" s="161"/>
      <c r="AB47" s="151"/>
      <c r="AC47" s="151"/>
      <c r="AD47" s="151"/>
      <c r="AE47" s="151"/>
      <c r="AF47" s="151"/>
      <c r="AG47" s="151"/>
      <c r="AH47" s="151"/>
      <c r="AI47" s="143"/>
      <c r="AJ47" s="146"/>
      <c r="AK47" s="152"/>
      <c r="AL47" s="152"/>
      <c r="AM47" s="134"/>
      <c r="AN47" s="146"/>
      <c r="AO47" s="143"/>
      <c r="AP47" s="147"/>
      <c r="AQ47" s="134"/>
      <c r="AR47" s="148"/>
      <c r="AS47" s="153"/>
    </row>
    <row r="48">
      <c r="A48" s="160"/>
      <c r="B48" s="160"/>
      <c r="C48" s="160"/>
      <c r="D48" s="78"/>
      <c r="E48" s="149"/>
      <c r="F48" s="129"/>
      <c r="G48" s="130"/>
      <c r="H48" s="78"/>
      <c r="I48" s="78"/>
      <c r="J48" s="78"/>
      <c r="K48" s="129"/>
      <c r="L48" s="131"/>
      <c r="M48" s="150"/>
      <c r="N48" s="150"/>
      <c r="O48" s="133"/>
      <c r="P48" s="134"/>
      <c r="Q48" s="135"/>
      <c r="R48" s="135"/>
      <c r="S48" s="137"/>
      <c r="T48" s="138"/>
      <c r="U48" s="139"/>
      <c r="V48" s="139"/>
      <c r="W48" s="133"/>
      <c r="X48" s="140"/>
      <c r="Y48" s="139"/>
      <c r="Z48" s="139"/>
      <c r="AA48" s="161"/>
      <c r="AB48" s="143"/>
      <c r="AC48" s="143"/>
      <c r="AD48" s="143"/>
      <c r="AE48" s="143"/>
      <c r="AF48" s="143"/>
      <c r="AG48" s="143"/>
      <c r="AH48" s="143"/>
      <c r="AI48" s="143"/>
      <c r="AJ48" s="146"/>
      <c r="AK48" s="143"/>
      <c r="AL48" s="152"/>
      <c r="AM48" s="152"/>
      <c r="AN48" s="146"/>
      <c r="AO48" s="143"/>
      <c r="AP48" s="153"/>
      <c r="AQ48" s="152"/>
      <c r="AR48" s="148"/>
      <c r="AS48" s="147"/>
    </row>
    <row r="49">
      <c r="A49" s="160"/>
      <c r="B49" s="160"/>
      <c r="C49" s="160"/>
      <c r="D49" s="102"/>
      <c r="E49" s="149"/>
      <c r="F49" s="129"/>
      <c r="G49" s="138"/>
      <c r="H49" s="78"/>
      <c r="I49" s="102"/>
      <c r="J49" s="78"/>
      <c r="K49" s="129"/>
      <c r="L49" s="131"/>
      <c r="M49" s="150"/>
      <c r="N49" s="150"/>
      <c r="O49" s="133"/>
      <c r="P49" s="134"/>
      <c r="Q49" s="135"/>
      <c r="R49" s="135"/>
      <c r="S49" s="137"/>
      <c r="T49" s="138"/>
      <c r="U49" s="139"/>
      <c r="V49" s="139"/>
      <c r="W49" s="133"/>
      <c r="X49" s="140"/>
      <c r="Y49" s="139"/>
      <c r="Z49" s="139"/>
      <c r="AA49" s="161"/>
      <c r="AB49" s="143"/>
      <c r="AC49" s="143"/>
      <c r="AD49" s="143"/>
      <c r="AE49" s="143"/>
      <c r="AF49" s="143"/>
      <c r="AG49" s="143"/>
      <c r="AH49" s="143"/>
      <c r="AI49" s="143"/>
      <c r="AJ49" s="146"/>
      <c r="AK49" s="143"/>
      <c r="AL49" s="152"/>
      <c r="AM49" s="152"/>
      <c r="AN49" s="146"/>
      <c r="AO49" s="143"/>
      <c r="AP49" s="153"/>
      <c r="AQ49" s="152"/>
      <c r="AR49" s="148"/>
      <c r="AS49" s="147"/>
    </row>
    <row r="50">
      <c r="A50" s="160"/>
      <c r="B50" s="160"/>
      <c r="C50" s="160"/>
      <c r="D50" s="78"/>
      <c r="E50" s="149"/>
      <c r="F50" s="129"/>
      <c r="G50" s="130"/>
      <c r="H50" s="78"/>
      <c r="I50" s="78"/>
      <c r="J50" s="78"/>
      <c r="K50" s="129"/>
      <c r="L50" s="131"/>
      <c r="M50" s="150"/>
      <c r="N50" s="150"/>
      <c r="O50" s="133"/>
      <c r="P50" s="134"/>
      <c r="Q50" s="135"/>
      <c r="R50" s="135"/>
      <c r="S50" s="137"/>
      <c r="T50" s="138"/>
      <c r="U50" s="139"/>
      <c r="V50" s="139"/>
      <c r="W50" s="133"/>
      <c r="X50" s="140"/>
      <c r="Y50" s="139"/>
      <c r="Z50" s="139"/>
      <c r="AA50" s="161"/>
      <c r="AB50" s="143"/>
      <c r="AC50" s="143"/>
      <c r="AD50" s="143"/>
      <c r="AE50" s="143"/>
      <c r="AF50" s="143"/>
      <c r="AG50" s="143"/>
      <c r="AH50" s="143"/>
      <c r="AI50" s="143"/>
      <c r="AJ50" s="146"/>
      <c r="AK50" s="143"/>
      <c r="AL50" s="152"/>
      <c r="AM50" s="152"/>
      <c r="AN50" s="146"/>
      <c r="AO50" s="143"/>
      <c r="AP50" s="153"/>
      <c r="AQ50" s="152"/>
      <c r="AR50" s="148"/>
      <c r="AS50" s="147"/>
    </row>
    <row r="51">
      <c r="A51" s="160"/>
      <c r="B51" s="160"/>
      <c r="C51" s="160"/>
      <c r="D51" s="102"/>
      <c r="E51" s="149"/>
      <c r="F51" s="129"/>
      <c r="G51" s="130"/>
      <c r="H51" s="78"/>
      <c r="I51" s="102"/>
      <c r="J51" s="78"/>
      <c r="K51" s="129"/>
      <c r="L51" s="131"/>
      <c r="M51" s="132"/>
      <c r="N51" s="132"/>
      <c r="O51" s="133"/>
      <c r="P51" s="152"/>
      <c r="Q51" s="135"/>
      <c r="R51" s="136"/>
      <c r="S51" s="137"/>
      <c r="T51" s="138"/>
      <c r="U51" s="141"/>
      <c r="V51" s="139"/>
      <c r="W51" s="133"/>
      <c r="X51" s="140"/>
      <c r="Y51" s="139"/>
      <c r="Z51" s="141"/>
      <c r="AA51" s="161"/>
      <c r="AB51" s="141"/>
      <c r="AC51" s="141"/>
      <c r="AD51" s="141"/>
      <c r="AE51" s="141"/>
      <c r="AF51" s="141"/>
      <c r="AG51" s="141"/>
      <c r="AH51" s="141"/>
      <c r="AI51" s="141"/>
      <c r="AJ51" s="146"/>
      <c r="AK51" s="134"/>
      <c r="AL51" s="134"/>
      <c r="AM51" s="134"/>
      <c r="AN51" s="146"/>
      <c r="AO51" s="143"/>
      <c r="AP51" s="147"/>
      <c r="AQ51" s="134"/>
      <c r="AR51" s="148"/>
      <c r="AS51" s="147"/>
    </row>
    <row r="52">
      <c r="A52" s="160"/>
      <c r="B52" s="160"/>
      <c r="C52" s="160"/>
      <c r="D52" s="78"/>
      <c r="E52" s="149"/>
      <c r="F52" s="129"/>
      <c r="G52" s="130"/>
      <c r="H52" s="78"/>
      <c r="I52" s="78"/>
      <c r="J52" s="78"/>
      <c r="K52" s="129"/>
      <c r="L52" s="131"/>
      <c r="M52" s="150"/>
      <c r="N52" s="150"/>
      <c r="O52" s="133"/>
      <c r="P52" s="134"/>
      <c r="Q52" s="136"/>
      <c r="R52" s="136"/>
      <c r="S52" s="137"/>
      <c r="T52" s="138"/>
      <c r="U52" s="139"/>
      <c r="V52" s="139"/>
      <c r="W52" s="133"/>
      <c r="X52" s="140"/>
      <c r="Y52" s="139"/>
      <c r="Z52" s="139"/>
      <c r="AA52" s="161"/>
      <c r="AB52" s="143"/>
      <c r="AC52" s="143"/>
      <c r="AD52" s="143"/>
      <c r="AE52" s="143"/>
      <c r="AF52" s="143"/>
      <c r="AG52" s="143"/>
      <c r="AH52" s="143"/>
      <c r="AI52" s="143"/>
      <c r="AJ52" s="146"/>
      <c r="AK52" s="143"/>
      <c r="AL52" s="152"/>
      <c r="AM52" s="152"/>
      <c r="AN52" s="146"/>
      <c r="AO52" s="143"/>
      <c r="AP52" s="147"/>
      <c r="AQ52" s="134"/>
      <c r="AR52" s="148"/>
      <c r="AS52" s="147"/>
    </row>
    <row r="53">
      <c r="A53" s="160"/>
      <c r="B53" s="160"/>
      <c r="C53" s="160"/>
      <c r="D53" s="102"/>
      <c r="E53" s="149"/>
      <c r="F53" s="129"/>
      <c r="G53" s="130"/>
      <c r="H53" s="102"/>
      <c r="I53" s="102"/>
      <c r="J53" s="78"/>
      <c r="K53" s="129"/>
      <c r="L53" s="131"/>
      <c r="M53" s="150"/>
      <c r="N53" s="132"/>
      <c r="O53" s="133"/>
      <c r="P53" s="134"/>
      <c r="Q53" s="135"/>
      <c r="R53" s="135"/>
      <c r="S53" s="137"/>
      <c r="T53" s="138"/>
      <c r="U53" s="139"/>
      <c r="V53" s="139"/>
      <c r="W53" s="133"/>
      <c r="X53" s="140"/>
      <c r="Y53" s="139"/>
      <c r="Z53" s="139"/>
      <c r="AA53" s="161"/>
      <c r="AB53" s="143"/>
      <c r="AC53" s="143"/>
      <c r="AD53" s="143"/>
      <c r="AE53" s="143"/>
      <c r="AF53" s="143"/>
      <c r="AG53" s="143"/>
      <c r="AH53" s="143"/>
      <c r="AI53" s="143"/>
      <c r="AJ53" s="146"/>
      <c r="AK53" s="143"/>
      <c r="AL53" s="152"/>
      <c r="AM53" s="152"/>
      <c r="AN53" s="146"/>
      <c r="AO53" s="143"/>
      <c r="AP53" s="147"/>
      <c r="AQ53" s="152"/>
      <c r="AR53" s="148"/>
      <c r="AS53" s="147"/>
    </row>
    <row r="54">
      <c r="A54" s="160"/>
      <c r="B54" s="160"/>
      <c r="C54" s="160"/>
      <c r="D54" s="78"/>
      <c r="E54" s="149"/>
      <c r="F54" s="129"/>
      <c r="G54" s="130"/>
      <c r="H54" s="78"/>
      <c r="I54" s="78"/>
      <c r="J54" s="78"/>
      <c r="K54" s="129"/>
      <c r="L54" s="157"/>
      <c r="M54" s="150"/>
      <c r="N54" s="150"/>
      <c r="O54" s="133"/>
      <c r="P54" s="134"/>
      <c r="Q54" s="135"/>
      <c r="R54" s="135"/>
      <c r="S54" s="137"/>
      <c r="T54" s="138"/>
      <c r="U54" s="141"/>
      <c r="V54" s="141"/>
      <c r="W54" s="133"/>
      <c r="X54" s="149"/>
      <c r="Y54" s="139"/>
      <c r="Z54" s="139"/>
      <c r="AA54" s="161"/>
      <c r="AB54" s="143"/>
      <c r="AC54" s="143"/>
      <c r="AD54" s="143"/>
      <c r="AE54" s="143"/>
      <c r="AF54" s="143"/>
      <c r="AG54" s="143"/>
      <c r="AH54" s="143"/>
      <c r="AI54" s="143"/>
      <c r="AJ54" s="146"/>
      <c r="AK54" s="143"/>
      <c r="AL54" s="150"/>
      <c r="AM54" s="150"/>
      <c r="AN54" s="146"/>
      <c r="AO54" s="143"/>
      <c r="AP54" s="158"/>
      <c r="AQ54" s="150"/>
      <c r="AR54" s="148"/>
      <c r="AS54" s="147"/>
    </row>
    <row r="55">
      <c r="A55" s="160"/>
      <c r="B55" s="160"/>
      <c r="C55" s="160"/>
      <c r="D55" s="102"/>
      <c r="E55" s="149"/>
      <c r="F55" s="129"/>
      <c r="G55" s="130"/>
      <c r="H55" s="102"/>
      <c r="I55" s="102"/>
      <c r="J55" s="78"/>
      <c r="K55" s="129"/>
      <c r="L55" s="157"/>
      <c r="M55" s="132"/>
      <c r="N55" s="132"/>
      <c r="O55" s="133"/>
      <c r="P55" s="152"/>
      <c r="Q55" s="136"/>
      <c r="R55" s="136"/>
      <c r="S55" s="137"/>
      <c r="T55" s="138"/>
      <c r="U55" s="141"/>
      <c r="V55" s="141"/>
      <c r="W55" s="133"/>
      <c r="X55" s="140"/>
      <c r="Y55" s="141"/>
      <c r="Z55" s="141"/>
      <c r="AA55" s="161"/>
      <c r="AB55" s="143"/>
      <c r="AC55" s="143"/>
      <c r="AD55" s="143"/>
      <c r="AE55" s="143"/>
      <c r="AF55" s="143"/>
      <c r="AG55" s="143"/>
      <c r="AH55" s="143"/>
      <c r="AI55" s="143"/>
      <c r="AJ55" s="146"/>
      <c r="AK55" s="143"/>
      <c r="AL55" s="152"/>
      <c r="AM55" s="134"/>
      <c r="AN55" s="146"/>
      <c r="AO55" s="143"/>
      <c r="AP55" s="147"/>
      <c r="AQ55" s="134"/>
      <c r="AR55" s="148"/>
      <c r="AS55" s="153"/>
    </row>
    <row r="56">
      <c r="A56" s="160"/>
      <c r="B56" s="160"/>
      <c r="C56" s="160"/>
      <c r="D56" s="102"/>
      <c r="E56" s="102"/>
      <c r="F56" s="129"/>
      <c r="G56" s="130"/>
      <c r="H56" s="102"/>
      <c r="I56" s="102"/>
      <c r="J56" s="78"/>
      <c r="K56" s="129"/>
      <c r="L56" s="157"/>
      <c r="M56" s="150"/>
      <c r="N56" s="132"/>
      <c r="O56" s="133"/>
      <c r="P56" s="134"/>
      <c r="Q56" s="136"/>
      <c r="R56" s="136"/>
      <c r="S56" s="137"/>
      <c r="T56" s="138"/>
      <c r="U56" s="141"/>
      <c r="V56" s="139"/>
      <c r="W56" s="133"/>
      <c r="X56" s="140"/>
      <c r="Y56" s="139"/>
      <c r="Z56" s="159"/>
      <c r="AA56" s="161"/>
      <c r="AB56" s="143"/>
      <c r="AC56" s="143"/>
      <c r="AD56" s="143"/>
      <c r="AE56" s="143"/>
      <c r="AF56" s="143"/>
      <c r="AG56" s="143"/>
      <c r="AH56" s="143"/>
      <c r="AI56" s="143"/>
      <c r="AJ56" s="146"/>
      <c r="AK56" s="143"/>
      <c r="AL56" s="152"/>
      <c r="AM56" s="152"/>
      <c r="AN56" s="146"/>
      <c r="AO56" s="153"/>
      <c r="AP56" s="153"/>
      <c r="AQ56" s="152"/>
      <c r="AR56" s="148"/>
      <c r="AS56" s="147"/>
    </row>
    <row r="57">
      <c r="D57" s="162"/>
      <c r="E57" s="163"/>
      <c r="G57" s="164"/>
      <c r="L57" s="165"/>
      <c r="M57" s="166"/>
      <c r="N57" s="166"/>
      <c r="P57" s="167"/>
      <c r="T57" s="164"/>
      <c r="X57" s="162"/>
      <c r="Y57" s="168"/>
      <c r="AQ57" s="166"/>
    </row>
    <row r="58">
      <c r="D58" s="162"/>
      <c r="E58" s="163"/>
      <c r="G58" s="164"/>
      <c r="L58" s="165"/>
      <c r="M58" s="166"/>
      <c r="N58" s="166"/>
      <c r="P58" s="167"/>
      <c r="T58" s="164"/>
      <c r="X58" s="162"/>
      <c r="Y58" s="168"/>
      <c r="AQ58" s="166"/>
    </row>
    <row r="59">
      <c r="D59" s="162"/>
      <c r="E59" s="163"/>
      <c r="G59" s="164"/>
      <c r="L59" s="165"/>
      <c r="M59" s="166"/>
      <c r="N59" s="166"/>
      <c r="P59" s="167"/>
      <c r="T59" s="164"/>
      <c r="X59" s="162"/>
      <c r="Y59" s="168"/>
      <c r="AQ59" s="166"/>
    </row>
    <row r="60">
      <c r="D60" s="162"/>
      <c r="E60" s="163"/>
      <c r="G60" s="164"/>
      <c r="L60" s="165"/>
      <c r="M60" s="166"/>
      <c r="N60" s="166"/>
      <c r="P60" s="167"/>
      <c r="T60" s="164"/>
      <c r="X60" s="162"/>
      <c r="Y60" s="168"/>
      <c r="AQ60" s="166"/>
    </row>
    <row r="61">
      <c r="D61" s="162"/>
      <c r="E61" s="163"/>
      <c r="G61" s="164"/>
      <c r="L61" s="165"/>
      <c r="M61" s="166"/>
      <c r="N61" s="166"/>
      <c r="P61" s="167"/>
      <c r="T61" s="164"/>
      <c r="X61" s="162"/>
      <c r="Y61" s="168"/>
      <c r="AQ61" s="166"/>
    </row>
    <row r="62">
      <c r="D62" s="162"/>
      <c r="E62" s="163"/>
      <c r="G62" s="164"/>
      <c r="L62" s="165"/>
      <c r="M62" s="166"/>
      <c r="N62" s="166"/>
      <c r="P62" s="167"/>
      <c r="T62" s="164"/>
      <c r="X62" s="162"/>
      <c r="Y62" s="168"/>
      <c r="AQ62" s="166"/>
    </row>
    <row r="63">
      <c r="D63" s="162"/>
      <c r="E63" s="163"/>
      <c r="G63" s="164"/>
      <c r="L63" s="165"/>
      <c r="M63" s="166"/>
      <c r="N63" s="166"/>
      <c r="P63" s="167"/>
      <c r="T63" s="164"/>
      <c r="X63" s="162"/>
      <c r="Y63" s="168"/>
      <c r="AQ63" s="166"/>
    </row>
    <row r="64">
      <c r="D64" s="162"/>
      <c r="E64" s="163"/>
      <c r="G64" s="164"/>
      <c r="L64" s="165"/>
      <c r="M64" s="166"/>
      <c r="N64" s="166"/>
      <c r="P64" s="167"/>
      <c r="T64" s="164"/>
      <c r="X64" s="162"/>
      <c r="Y64" s="168"/>
      <c r="AQ64" s="166"/>
    </row>
    <row r="65">
      <c r="D65" s="162"/>
      <c r="E65" s="163"/>
      <c r="G65" s="164"/>
      <c r="L65" s="165"/>
      <c r="M65" s="166"/>
      <c r="N65" s="166"/>
      <c r="P65" s="167"/>
      <c r="T65" s="164"/>
      <c r="X65" s="162"/>
      <c r="Y65" s="168"/>
      <c r="AQ65" s="166"/>
    </row>
    <row r="66">
      <c r="D66" s="162"/>
      <c r="E66" s="163"/>
      <c r="G66" s="164"/>
      <c r="L66" s="165"/>
      <c r="M66" s="166"/>
      <c r="N66" s="166"/>
      <c r="P66" s="167"/>
      <c r="T66" s="164"/>
      <c r="X66" s="162"/>
      <c r="Y66" s="168"/>
      <c r="AQ66" s="166"/>
    </row>
    <row r="67">
      <c r="D67" s="162"/>
      <c r="E67" s="163"/>
      <c r="G67" s="164"/>
      <c r="L67" s="165"/>
      <c r="M67" s="166"/>
      <c r="N67" s="166"/>
      <c r="P67" s="167"/>
      <c r="T67" s="164"/>
      <c r="X67" s="162"/>
      <c r="Y67" s="168"/>
      <c r="AQ67" s="166"/>
    </row>
    <row r="68">
      <c r="D68" s="162"/>
      <c r="E68" s="163"/>
      <c r="G68" s="164"/>
      <c r="L68" s="165"/>
      <c r="M68" s="166"/>
      <c r="N68" s="166"/>
      <c r="P68" s="167"/>
      <c r="T68" s="164"/>
      <c r="X68" s="162"/>
      <c r="Y68" s="168"/>
      <c r="AQ68" s="166"/>
    </row>
    <row r="69">
      <c r="D69" s="162"/>
      <c r="E69" s="163"/>
      <c r="G69" s="164"/>
      <c r="L69" s="165"/>
      <c r="M69" s="166"/>
      <c r="N69" s="166"/>
      <c r="P69" s="167"/>
      <c r="T69" s="164"/>
      <c r="X69" s="162"/>
      <c r="Y69" s="168"/>
      <c r="AQ69" s="166"/>
    </row>
    <row r="70">
      <c r="D70" s="162"/>
      <c r="E70" s="163"/>
      <c r="G70" s="164"/>
      <c r="L70" s="165"/>
      <c r="M70" s="166"/>
      <c r="N70" s="166"/>
      <c r="P70" s="167"/>
      <c r="T70" s="164"/>
      <c r="X70" s="162"/>
      <c r="Y70" s="168"/>
      <c r="AQ70" s="166"/>
    </row>
    <row r="71">
      <c r="D71" s="162"/>
      <c r="E71" s="163"/>
      <c r="G71" s="164"/>
      <c r="L71" s="165"/>
      <c r="M71" s="166"/>
      <c r="N71" s="166"/>
      <c r="P71" s="167"/>
      <c r="T71" s="164"/>
      <c r="X71" s="162"/>
      <c r="Y71" s="168"/>
      <c r="AQ71" s="166"/>
    </row>
    <row r="72">
      <c r="D72" s="162"/>
      <c r="E72" s="163"/>
      <c r="G72" s="164"/>
      <c r="L72" s="165"/>
      <c r="M72" s="166"/>
      <c r="N72" s="166"/>
      <c r="P72" s="167"/>
      <c r="T72" s="164"/>
      <c r="X72" s="162"/>
      <c r="Y72" s="168"/>
      <c r="AQ72" s="166"/>
    </row>
    <row r="73">
      <c r="D73" s="162"/>
      <c r="E73" s="163"/>
      <c r="G73" s="164"/>
      <c r="L73" s="165"/>
      <c r="M73" s="166"/>
      <c r="N73" s="166"/>
      <c r="P73" s="167"/>
      <c r="T73" s="164"/>
      <c r="X73" s="162"/>
      <c r="Y73" s="168"/>
      <c r="AQ73" s="166"/>
    </row>
    <row r="74">
      <c r="D74" s="162"/>
      <c r="E74" s="163"/>
      <c r="G74" s="164"/>
      <c r="L74" s="165"/>
      <c r="M74" s="166"/>
      <c r="N74" s="166"/>
      <c r="P74" s="167"/>
      <c r="T74" s="164"/>
      <c r="X74" s="162"/>
      <c r="Y74" s="168"/>
      <c r="AQ74" s="166"/>
    </row>
    <row r="75">
      <c r="D75" s="162"/>
      <c r="E75" s="163"/>
      <c r="G75" s="164"/>
      <c r="L75" s="165"/>
      <c r="M75" s="166"/>
      <c r="N75" s="166"/>
      <c r="P75" s="167"/>
      <c r="T75" s="164"/>
      <c r="X75" s="162"/>
      <c r="Y75" s="168"/>
      <c r="AQ75" s="166"/>
    </row>
    <row r="76">
      <c r="D76" s="162"/>
      <c r="E76" s="163"/>
      <c r="G76" s="164"/>
      <c r="L76" s="165"/>
      <c r="M76" s="166"/>
      <c r="N76" s="166"/>
      <c r="P76" s="167"/>
      <c r="T76" s="164"/>
      <c r="X76" s="162"/>
      <c r="Y76" s="168"/>
      <c r="AQ76" s="166"/>
    </row>
    <row r="77">
      <c r="D77" s="162"/>
      <c r="E77" s="163"/>
      <c r="G77" s="164"/>
      <c r="L77" s="165"/>
      <c r="M77" s="166"/>
      <c r="N77" s="166"/>
      <c r="P77" s="167"/>
      <c r="T77" s="164"/>
      <c r="X77" s="162"/>
      <c r="Y77" s="168"/>
      <c r="AQ77" s="166"/>
    </row>
    <row r="78">
      <c r="D78" s="162"/>
      <c r="E78" s="163"/>
      <c r="G78" s="164"/>
      <c r="L78" s="165"/>
      <c r="M78" s="166"/>
      <c r="N78" s="166"/>
      <c r="P78" s="167"/>
      <c r="T78" s="164"/>
      <c r="X78" s="162"/>
      <c r="Y78" s="168"/>
      <c r="AQ78" s="166"/>
    </row>
    <row r="79">
      <c r="D79" s="162"/>
      <c r="E79" s="163"/>
      <c r="G79" s="164"/>
      <c r="L79" s="165"/>
      <c r="M79" s="166"/>
      <c r="N79" s="166"/>
      <c r="P79" s="167"/>
      <c r="T79" s="164"/>
      <c r="X79" s="162"/>
      <c r="Y79" s="168"/>
      <c r="AQ79" s="166"/>
    </row>
    <row r="80">
      <c r="D80" s="162"/>
      <c r="E80" s="163"/>
      <c r="G80" s="164"/>
      <c r="L80" s="165"/>
      <c r="M80" s="166"/>
      <c r="N80" s="166"/>
      <c r="P80" s="167"/>
      <c r="T80" s="164"/>
      <c r="X80" s="162"/>
      <c r="Y80" s="168"/>
      <c r="AQ80" s="166"/>
    </row>
    <row r="81">
      <c r="D81" s="162"/>
      <c r="E81" s="163"/>
      <c r="G81" s="164"/>
      <c r="L81" s="165"/>
      <c r="M81" s="166"/>
      <c r="N81" s="166"/>
      <c r="P81" s="167"/>
      <c r="T81" s="164"/>
      <c r="X81" s="162"/>
      <c r="Y81" s="168"/>
      <c r="AQ81" s="166"/>
    </row>
    <row r="82">
      <c r="D82" s="162"/>
      <c r="E82" s="163"/>
      <c r="G82" s="164"/>
      <c r="L82" s="165"/>
      <c r="M82" s="166"/>
      <c r="N82" s="166"/>
      <c r="P82" s="167"/>
      <c r="T82" s="164"/>
      <c r="X82" s="162"/>
      <c r="Y82" s="168"/>
      <c r="AQ82" s="166"/>
    </row>
    <row r="83">
      <c r="D83" s="162"/>
      <c r="E83" s="163"/>
      <c r="G83" s="164"/>
      <c r="L83" s="165"/>
      <c r="M83" s="166"/>
      <c r="N83" s="166"/>
      <c r="P83" s="167"/>
      <c r="T83" s="164"/>
      <c r="X83" s="162"/>
      <c r="Y83" s="168"/>
      <c r="AQ83" s="166"/>
    </row>
    <row r="84">
      <c r="D84" s="162"/>
      <c r="E84" s="163"/>
      <c r="G84" s="164"/>
      <c r="L84" s="165"/>
      <c r="M84" s="166"/>
      <c r="N84" s="166"/>
      <c r="P84" s="167"/>
      <c r="T84" s="164"/>
      <c r="X84" s="162"/>
      <c r="Y84" s="168"/>
      <c r="AQ84" s="166"/>
    </row>
    <row r="85">
      <c r="D85" s="162"/>
      <c r="E85" s="163"/>
      <c r="G85" s="164"/>
      <c r="L85" s="165"/>
      <c r="M85" s="166"/>
      <c r="N85" s="166"/>
      <c r="P85" s="167"/>
      <c r="T85" s="164"/>
      <c r="X85" s="162"/>
      <c r="Y85" s="168"/>
      <c r="AQ85" s="166"/>
    </row>
    <row r="86">
      <c r="D86" s="162"/>
      <c r="E86" s="163"/>
      <c r="G86" s="164"/>
      <c r="L86" s="165"/>
      <c r="M86" s="166"/>
      <c r="N86" s="166"/>
      <c r="P86" s="167"/>
      <c r="T86" s="164"/>
      <c r="X86" s="162"/>
      <c r="Y86" s="168"/>
      <c r="AQ86" s="166"/>
    </row>
    <row r="87">
      <c r="D87" s="162"/>
      <c r="E87" s="163"/>
      <c r="G87" s="164"/>
      <c r="L87" s="165"/>
      <c r="M87" s="166"/>
      <c r="N87" s="166"/>
      <c r="P87" s="167"/>
      <c r="T87" s="164"/>
      <c r="X87" s="162"/>
      <c r="Y87" s="168"/>
      <c r="AQ87" s="166"/>
    </row>
    <row r="88">
      <c r="D88" s="162"/>
      <c r="E88" s="163"/>
      <c r="G88" s="164"/>
      <c r="L88" s="165"/>
      <c r="M88" s="166"/>
      <c r="N88" s="166"/>
      <c r="P88" s="167"/>
      <c r="T88" s="164"/>
      <c r="X88" s="162"/>
      <c r="Y88" s="168"/>
      <c r="AQ88" s="166"/>
    </row>
    <row r="89">
      <c r="D89" s="162"/>
      <c r="E89" s="163"/>
      <c r="G89" s="164"/>
      <c r="L89" s="165"/>
      <c r="M89" s="166"/>
      <c r="N89" s="166"/>
      <c r="P89" s="167"/>
      <c r="T89" s="164"/>
      <c r="X89" s="162"/>
      <c r="Y89" s="168"/>
      <c r="AQ89" s="166"/>
    </row>
    <row r="90">
      <c r="D90" s="162"/>
      <c r="E90" s="163"/>
      <c r="G90" s="164"/>
      <c r="L90" s="165"/>
      <c r="M90" s="166"/>
      <c r="N90" s="166"/>
      <c r="P90" s="167"/>
      <c r="T90" s="164"/>
      <c r="X90" s="162"/>
      <c r="Y90" s="168"/>
      <c r="AQ90" s="166"/>
    </row>
    <row r="91">
      <c r="D91" s="162"/>
      <c r="E91" s="163"/>
      <c r="G91" s="164"/>
      <c r="L91" s="165"/>
      <c r="M91" s="166"/>
      <c r="N91" s="166"/>
      <c r="P91" s="167"/>
      <c r="T91" s="164"/>
      <c r="X91" s="162"/>
      <c r="Y91" s="168"/>
      <c r="AQ91" s="166"/>
    </row>
    <row r="92">
      <c r="D92" s="162"/>
      <c r="E92" s="163"/>
      <c r="G92" s="164"/>
      <c r="L92" s="165"/>
      <c r="M92" s="166"/>
      <c r="N92" s="166"/>
      <c r="P92" s="167"/>
      <c r="T92" s="164"/>
      <c r="X92" s="162"/>
      <c r="Y92" s="168"/>
      <c r="AQ92" s="166"/>
    </row>
    <row r="93">
      <c r="D93" s="162"/>
      <c r="E93" s="163"/>
      <c r="G93" s="164"/>
      <c r="L93" s="165"/>
      <c r="M93" s="166"/>
      <c r="N93" s="166"/>
      <c r="P93" s="167"/>
      <c r="T93" s="164"/>
      <c r="X93" s="162"/>
      <c r="Y93" s="168"/>
      <c r="AQ93" s="166"/>
    </row>
    <row r="94">
      <c r="D94" s="162"/>
      <c r="E94" s="163"/>
      <c r="G94" s="164"/>
      <c r="L94" s="165"/>
      <c r="M94" s="166"/>
      <c r="N94" s="166"/>
      <c r="P94" s="167"/>
      <c r="T94" s="164"/>
      <c r="X94" s="162"/>
      <c r="Y94" s="168"/>
      <c r="AQ94" s="166"/>
    </row>
    <row r="95">
      <c r="D95" s="162"/>
      <c r="E95" s="163"/>
      <c r="G95" s="164"/>
      <c r="L95" s="165"/>
      <c r="M95" s="166"/>
      <c r="N95" s="166"/>
      <c r="P95" s="167"/>
      <c r="T95" s="164"/>
      <c r="X95" s="162"/>
      <c r="Y95" s="168"/>
      <c r="AQ95" s="166"/>
    </row>
    <row r="96">
      <c r="D96" s="162"/>
      <c r="E96" s="163"/>
      <c r="G96" s="164"/>
      <c r="L96" s="165"/>
      <c r="M96" s="166"/>
      <c r="N96" s="166"/>
      <c r="P96" s="167"/>
      <c r="T96" s="164"/>
      <c r="X96" s="162"/>
      <c r="Y96" s="168"/>
      <c r="AQ96" s="166"/>
    </row>
    <row r="97">
      <c r="D97" s="162"/>
      <c r="E97" s="163"/>
      <c r="G97" s="164"/>
      <c r="L97" s="165"/>
      <c r="M97" s="166"/>
      <c r="N97" s="166"/>
      <c r="P97" s="167"/>
      <c r="T97" s="164"/>
      <c r="X97" s="162"/>
      <c r="Y97" s="168"/>
      <c r="AQ97" s="166"/>
    </row>
    <row r="98">
      <c r="D98" s="162"/>
      <c r="E98" s="163"/>
      <c r="G98" s="164"/>
      <c r="L98" s="165"/>
      <c r="M98" s="166"/>
      <c r="N98" s="166"/>
      <c r="P98" s="167"/>
      <c r="T98" s="164"/>
      <c r="X98" s="162"/>
      <c r="Y98" s="168"/>
      <c r="AQ98" s="166"/>
    </row>
    <row r="99">
      <c r="D99" s="162"/>
      <c r="E99" s="163"/>
      <c r="G99" s="164"/>
      <c r="L99" s="165"/>
      <c r="M99" s="166"/>
      <c r="N99" s="166"/>
      <c r="P99" s="167"/>
      <c r="T99" s="164"/>
      <c r="X99" s="162"/>
      <c r="Y99" s="168"/>
      <c r="AQ99" s="166"/>
    </row>
    <row r="100">
      <c r="D100" s="162"/>
      <c r="E100" s="163"/>
      <c r="G100" s="164"/>
      <c r="L100" s="165"/>
      <c r="M100" s="166"/>
      <c r="N100" s="166"/>
      <c r="P100" s="167"/>
      <c r="T100" s="164"/>
      <c r="X100" s="162"/>
      <c r="Y100" s="168"/>
      <c r="AQ100" s="166"/>
    </row>
    <row r="101">
      <c r="D101" s="162"/>
      <c r="E101" s="163"/>
      <c r="G101" s="164"/>
      <c r="L101" s="165"/>
      <c r="M101" s="166"/>
      <c r="N101" s="166"/>
      <c r="P101" s="167"/>
      <c r="T101" s="164"/>
      <c r="X101" s="162"/>
      <c r="Y101" s="168"/>
      <c r="AQ101" s="166"/>
    </row>
    <row r="102">
      <c r="D102" s="162"/>
      <c r="E102" s="163"/>
      <c r="G102" s="164"/>
      <c r="L102" s="165"/>
      <c r="M102" s="166"/>
      <c r="N102" s="166"/>
      <c r="P102" s="167"/>
      <c r="T102" s="164"/>
      <c r="X102" s="162"/>
      <c r="Y102" s="168"/>
      <c r="AQ102" s="166"/>
    </row>
    <row r="103">
      <c r="D103" s="162"/>
      <c r="E103" s="163"/>
      <c r="G103" s="164"/>
      <c r="L103" s="165"/>
      <c r="M103" s="166"/>
      <c r="N103" s="166"/>
      <c r="P103" s="167"/>
      <c r="T103" s="164"/>
      <c r="X103" s="162"/>
      <c r="Y103" s="168"/>
      <c r="AQ103" s="166"/>
    </row>
    <row r="104">
      <c r="D104" s="162"/>
      <c r="E104" s="163"/>
      <c r="G104" s="164"/>
      <c r="L104" s="165"/>
      <c r="M104" s="166"/>
      <c r="N104" s="166"/>
      <c r="P104" s="167"/>
      <c r="T104" s="164"/>
      <c r="X104" s="162"/>
      <c r="Y104" s="168"/>
      <c r="AQ104" s="166"/>
    </row>
    <row r="105">
      <c r="D105" s="162"/>
      <c r="E105" s="163"/>
      <c r="G105" s="164"/>
      <c r="L105" s="165"/>
      <c r="M105" s="166"/>
      <c r="N105" s="166"/>
      <c r="P105" s="167"/>
      <c r="T105" s="164"/>
      <c r="X105" s="162"/>
      <c r="Y105" s="168"/>
      <c r="AQ105" s="166"/>
    </row>
    <row r="106">
      <c r="D106" s="162"/>
      <c r="E106" s="163"/>
      <c r="G106" s="164"/>
      <c r="L106" s="165"/>
      <c r="M106" s="166"/>
      <c r="N106" s="166"/>
      <c r="P106" s="167"/>
      <c r="T106" s="164"/>
      <c r="X106" s="162"/>
      <c r="Y106" s="168"/>
      <c r="AQ106" s="166"/>
    </row>
    <row r="107">
      <c r="D107" s="162"/>
      <c r="E107" s="163"/>
      <c r="G107" s="164"/>
      <c r="L107" s="165"/>
      <c r="M107" s="166"/>
      <c r="N107" s="166"/>
      <c r="P107" s="167"/>
      <c r="T107" s="164"/>
      <c r="X107" s="162"/>
      <c r="Y107" s="168"/>
      <c r="AQ107" s="166"/>
    </row>
    <row r="108">
      <c r="D108" s="162"/>
      <c r="E108" s="163"/>
      <c r="G108" s="164"/>
      <c r="L108" s="165"/>
      <c r="M108" s="166"/>
      <c r="N108" s="166"/>
      <c r="P108" s="167"/>
      <c r="T108" s="164"/>
      <c r="X108" s="162"/>
      <c r="Y108" s="168"/>
      <c r="AQ108" s="166"/>
    </row>
    <row r="109">
      <c r="D109" s="162"/>
      <c r="E109" s="163"/>
      <c r="G109" s="164"/>
      <c r="L109" s="165"/>
      <c r="M109" s="166"/>
      <c r="N109" s="166"/>
      <c r="P109" s="167"/>
      <c r="T109" s="164"/>
      <c r="X109" s="162"/>
      <c r="Y109" s="168"/>
      <c r="AQ109" s="166"/>
    </row>
    <row r="110">
      <c r="D110" s="162"/>
      <c r="E110" s="163"/>
      <c r="G110" s="164"/>
      <c r="L110" s="165"/>
      <c r="M110" s="166"/>
      <c r="N110" s="166"/>
      <c r="P110" s="167"/>
      <c r="T110" s="164"/>
      <c r="X110" s="162"/>
      <c r="Y110" s="168"/>
      <c r="AQ110" s="166"/>
    </row>
    <row r="111">
      <c r="D111" s="162"/>
      <c r="E111" s="163"/>
      <c r="G111" s="164"/>
      <c r="L111" s="165"/>
      <c r="M111" s="166"/>
      <c r="N111" s="166"/>
      <c r="P111" s="167"/>
      <c r="T111" s="164"/>
      <c r="X111" s="162"/>
      <c r="Y111" s="168"/>
      <c r="AQ111" s="166"/>
    </row>
    <row r="112">
      <c r="D112" s="162"/>
      <c r="E112" s="163"/>
      <c r="G112" s="164"/>
      <c r="L112" s="165"/>
      <c r="M112" s="166"/>
      <c r="N112" s="166"/>
      <c r="P112" s="167"/>
      <c r="T112" s="164"/>
      <c r="X112" s="162"/>
      <c r="Y112" s="168"/>
      <c r="AQ112" s="166"/>
    </row>
    <row r="113">
      <c r="D113" s="162"/>
      <c r="E113" s="163"/>
      <c r="G113" s="164"/>
      <c r="L113" s="165"/>
      <c r="M113" s="166"/>
      <c r="N113" s="166"/>
      <c r="P113" s="167"/>
      <c r="T113" s="164"/>
      <c r="X113" s="162"/>
      <c r="Y113" s="168"/>
      <c r="AQ113" s="166"/>
    </row>
    <row r="114">
      <c r="D114" s="162"/>
      <c r="E114" s="163"/>
      <c r="G114" s="164"/>
      <c r="L114" s="165"/>
      <c r="M114" s="166"/>
      <c r="N114" s="166"/>
      <c r="P114" s="167"/>
      <c r="T114" s="164"/>
      <c r="X114" s="162"/>
      <c r="Y114" s="168"/>
      <c r="AQ114" s="166"/>
    </row>
    <row r="115">
      <c r="D115" s="162"/>
      <c r="E115" s="163"/>
      <c r="G115" s="164"/>
      <c r="L115" s="165"/>
      <c r="M115" s="166"/>
      <c r="N115" s="166"/>
      <c r="P115" s="167"/>
      <c r="T115" s="164"/>
      <c r="X115" s="162"/>
      <c r="Y115" s="168"/>
      <c r="AQ115" s="166"/>
    </row>
    <row r="116">
      <c r="D116" s="162"/>
      <c r="E116" s="163"/>
      <c r="G116" s="164"/>
      <c r="L116" s="165"/>
      <c r="M116" s="166"/>
      <c r="N116" s="166"/>
      <c r="P116" s="167"/>
      <c r="T116" s="164"/>
      <c r="X116" s="162"/>
      <c r="Y116" s="168"/>
      <c r="AQ116" s="166"/>
    </row>
    <row r="117">
      <c r="D117" s="162"/>
      <c r="E117" s="163"/>
      <c r="G117" s="164"/>
      <c r="L117" s="165"/>
      <c r="M117" s="166"/>
      <c r="N117" s="166"/>
      <c r="P117" s="167"/>
      <c r="T117" s="164"/>
      <c r="X117" s="162"/>
      <c r="Y117" s="168"/>
      <c r="AQ117" s="166"/>
    </row>
    <row r="118">
      <c r="D118" s="162"/>
      <c r="E118" s="163"/>
      <c r="G118" s="164"/>
      <c r="L118" s="165"/>
      <c r="M118" s="166"/>
      <c r="N118" s="166"/>
      <c r="P118" s="167"/>
      <c r="T118" s="164"/>
      <c r="X118" s="162"/>
      <c r="Y118" s="168"/>
      <c r="AQ118" s="166"/>
    </row>
    <row r="119">
      <c r="D119" s="162"/>
      <c r="E119" s="163"/>
      <c r="G119" s="164"/>
      <c r="L119" s="165"/>
      <c r="M119" s="166"/>
      <c r="N119" s="166"/>
      <c r="P119" s="167"/>
      <c r="T119" s="164"/>
      <c r="X119" s="162"/>
      <c r="Y119" s="168"/>
      <c r="AQ119" s="166"/>
    </row>
    <row r="120">
      <c r="D120" s="162"/>
      <c r="E120" s="163"/>
      <c r="G120" s="164"/>
      <c r="L120" s="165"/>
      <c r="M120" s="166"/>
      <c r="N120" s="166"/>
      <c r="P120" s="167"/>
      <c r="T120" s="164"/>
      <c r="X120" s="162"/>
      <c r="Y120" s="168"/>
      <c r="AQ120" s="166"/>
    </row>
    <row r="121">
      <c r="D121" s="162"/>
      <c r="E121" s="163"/>
      <c r="G121" s="164"/>
      <c r="L121" s="165"/>
      <c r="M121" s="166"/>
      <c r="N121" s="166"/>
      <c r="P121" s="167"/>
      <c r="T121" s="164"/>
      <c r="X121" s="162"/>
      <c r="Y121" s="168"/>
      <c r="AQ121" s="166"/>
    </row>
    <row r="122">
      <c r="D122" s="162"/>
      <c r="E122" s="163"/>
      <c r="G122" s="164"/>
      <c r="L122" s="165"/>
      <c r="M122" s="166"/>
      <c r="N122" s="166"/>
      <c r="P122" s="167"/>
      <c r="T122" s="164"/>
      <c r="X122" s="162"/>
      <c r="Y122" s="168"/>
      <c r="AQ122" s="166"/>
    </row>
    <row r="123">
      <c r="D123" s="162"/>
      <c r="E123" s="163"/>
      <c r="G123" s="164"/>
      <c r="L123" s="165"/>
      <c r="M123" s="166"/>
      <c r="N123" s="166"/>
      <c r="P123" s="167"/>
      <c r="T123" s="164"/>
      <c r="X123" s="162"/>
      <c r="Y123" s="168"/>
      <c r="AQ123" s="166"/>
    </row>
    <row r="124">
      <c r="D124" s="162"/>
      <c r="E124" s="163"/>
      <c r="G124" s="164"/>
      <c r="L124" s="165"/>
      <c r="M124" s="166"/>
      <c r="N124" s="166"/>
      <c r="P124" s="167"/>
      <c r="T124" s="164"/>
      <c r="X124" s="162"/>
      <c r="Y124" s="168"/>
      <c r="AQ124" s="166"/>
    </row>
    <row r="125">
      <c r="D125" s="162"/>
      <c r="E125" s="163"/>
      <c r="G125" s="164"/>
      <c r="L125" s="165"/>
      <c r="M125" s="166"/>
      <c r="N125" s="166"/>
      <c r="P125" s="167"/>
      <c r="T125" s="164"/>
      <c r="X125" s="162"/>
      <c r="Y125" s="168"/>
      <c r="AQ125" s="166"/>
    </row>
    <row r="126">
      <c r="D126" s="162"/>
      <c r="E126" s="163"/>
      <c r="G126" s="164"/>
      <c r="L126" s="165"/>
      <c r="M126" s="166"/>
      <c r="N126" s="166"/>
      <c r="P126" s="167"/>
      <c r="T126" s="164"/>
      <c r="X126" s="162"/>
      <c r="Y126" s="168"/>
      <c r="AQ126" s="166"/>
    </row>
    <row r="127">
      <c r="D127" s="162"/>
      <c r="E127" s="163"/>
      <c r="G127" s="164"/>
      <c r="L127" s="165"/>
      <c r="M127" s="166"/>
      <c r="N127" s="166"/>
      <c r="P127" s="167"/>
      <c r="T127" s="164"/>
      <c r="X127" s="162"/>
      <c r="Y127" s="168"/>
      <c r="AQ127" s="166"/>
    </row>
    <row r="128">
      <c r="D128" s="162"/>
      <c r="E128" s="163"/>
      <c r="G128" s="164"/>
      <c r="L128" s="165"/>
      <c r="M128" s="166"/>
      <c r="N128" s="166"/>
      <c r="P128" s="167"/>
      <c r="T128" s="164"/>
      <c r="X128" s="162"/>
      <c r="Y128" s="168"/>
      <c r="AQ128" s="166"/>
    </row>
    <row r="129">
      <c r="D129" s="162"/>
      <c r="E129" s="163"/>
      <c r="G129" s="164"/>
      <c r="L129" s="165"/>
      <c r="M129" s="166"/>
      <c r="N129" s="166"/>
      <c r="P129" s="167"/>
      <c r="T129" s="164"/>
      <c r="X129" s="162"/>
      <c r="Y129" s="168"/>
      <c r="AQ129" s="166"/>
    </row>
    <row r="130">
      <c r="D130" s="162"/>
      <c r="E130" s="163"/>
      <c r="G130" s="164"/>
      <c r="L130" s="165"/>
      <c r="M130" s="166"/>
      <c r="N130" s="166"/>
      <c r="P130" s="167"/>
      <c r="T130" s="164"/>
      <c r="X130" s="162"/>
      <c r="Y130" s="168"/>
      <c r="AQ130" s="166"/>
    </row>
    <row r="131">
      <c r="D131" s="162"/>
      <c r="E131" s="163"/>
      <c r="G131" s="164"/>
      <c r="L131" s="165"/>
      <c r="M131" s="166"/>
      <c r="N131" s="166"/>
      <c r="P131" s="167"/>
      <c r="T131" s="164"/>
      <c r="X131" s="162"/>
      <c r="Y131" s="168"/>
      <c r="AQ131" s="166"/>
    </row>
    <row r="132">
      <c r="D132" s="162"/>
      <c r="E132" s="163"/>
      <c r="G132" s="164"/>
      <c r="L132" s="165"/>
      <c r="M132" s="166"/>
      <c r="N132" s="166"/>
      <c r="P132" s="167"/>
      <c r="T132" s="164"/>
      <c r="X132" s="162"/>
      <c r="Y132" s="168"/>
      <c r="AQ132" s="166"/>
    </row>
    <row r="133">
      <c r="D133" s="162"/>
      <c r="E133" s="163"/>
      <c r="G133" s="164"/>
      <c r="L133" s="165"/>
      <c r="M133" s="166"/>
      <c r="N133" s="166"/>
      <c r="P133" s="167"/>
      <c r="T133" s="164"/>
      <c r="X133" s="162"/>
      <c r="Y133" s="168"/>
      <c r="AQ133" s="166"/>
    </row>
    <row r="134">
      <c r="D134" s="162"/>
      <c r="E134" s="163"/>
      <c r="G134" s="164"/>
      <c r="L134" s="165"/>
      <c r="M134" s="166"/>
      <c r="N134" s="166"/>
      <c r="P134" s="167"/>
      <c r="T134" s="164"/>
      <c r="X134" s="162"/>
      <c r="Y134" s="168"/>
      <c r="AQ134" s="166"/>
    </row>
    <row r="135">
      <c r="D135" s="162"/>
      <c r="E135" s="163"/>
      <c r="G135" s="164"/>
      <c r="L135" s="165"/>
      <c r="M135" s="166"/>
      <c r="N135" s="166"/>
      <c r="P135" s="167"/>
      <c r="T135" s="164"/>
      <c r="X135" s="162"/>
      <c r="Y135" s="168"/>
      <c r="AQ135" s="166"/>
    </row>
    <row r="136">
      <c r="D136" s="162"/>
      <c r="E136" s="163"/>
      <c r="G136" s="164"/>
      <c r="L136" s="165"/>
      <c r="M136" s="166"/>
      <c r="N136" s="166"/>
      <c r="P136" s="167"/>
      <c r="T136" s="164"/>
      <c r="X136" s="162"/>
      <c r="Y136" s="168"/>
      <c r="AQ136" s="166"/>
    </row>
    <row r="137">
      <c r="D137" s="162"/>
      <c r="E137" s="163"/>
      <c r="G137" s="164"/>
      <c r="L137" s="165"/>
      <c r="M137" s="166"/>
      <c r="N137" s="166"/>
      <c r="P137" s="167"/>
      <c r="T137" s="164"/>
      <c r="X137" s="162"/>
      <c r="Y137" s="168"/>
      <c r="AQ137" s="166"/>
    </row>
    <row r="138">
      <c r="D138" s="162"/>
      <c r="E138" s="163"/>
      <c r="G138" s="164"/>
      <c r="L138" s="165"/>
      <c r="M138" s="166"/>
      <c r="N138" s="166"/>
      <c r="P138" s="167"/>
      <c r="T138" s="164"/>
      <c r="X138" s="162"/>
      <c r="Y138" s="168"/>
      <c r="AQ138" s="166"/>
    </row>
    <row r="139">
      <c r="D139" s="162"/>
      <c r="E139" s="163"/>
      <c r="G139" s="164"/>
      <c r="L139" s="165"/>
      <c r="M139" s="166"/>
      <c r="N139" s="166"/>
      <c r="P139" s="167"/>
      <c r="T139" s="164"/>
      <c r="X139" s="162"/>
      <c r="Y139" s="168"/>
      <c r="AQ139" s="166"/>
    </row>
    <row r="140">
      <c r="D140" s="162"/>
      <c r="E140" s="163"/>
      <c r="G140" s="164"/>
      <c r="L140" s="165"/>
      <c r="M140" s="166"/>
      <c r="N140" s="166"/>
      <c r="P140" s="167"/>
      <c r="T140" s="164"/>
      <c r="X140" s="162"/>
      <c r="Y140" s="168"/>
      <c r="AQ140" s="166"/>
    </row>
    <row r="141">
      <c r="D141" s="162"/>
      <c r="E141" s="163"/>
      <c r="G141" s="164"/>
      <c r="L141" s="165"/>
      <c r="M141" s="166"/>
      <c r="N141" s="166"/>
      <c r="P141" s="167"/>
      <c r="T141" s="164"/>
      <c r="X141" s="162"/>
      <c r="Y141" s="168"/>
      <c r="AQ141" s="166"/>
    </row>
    <row r="142">
      <c r="D142" s="162"/>
      <c r="E142" s="163"/>
      <c r="G142" s="164"/>
      <c r="L142" s="165"/>
      <c r="M142" s="166"/>
      <c r="N142" s="166"/>
      <c r="P142" s="167"/>
      <c r="T142" s="164"/>
      <c r="X142" s="162"/>
      <c r="Y142" s="168"/>
      <c r="AQ142" s="166"/>
    </row>
    <row r="143">
      <c r="D143" s="162"/>
      <c r="E143" s="163"/>
      <c r="G143" s="164"/>
      <c r="L143" s="165"/>
      <c r="M143" s="166"/>
      <c r="N143" s="166"/>
      <c r="P143" s="167"/>
      <c r="T143" s="164"/>
      <c r="X143" s="162"/>
      <c r="Y143" s="168"/>
      <c r="AQ143" s="166"/>
    </row>
    <row r="144">
      <c r="D144" s="162"/>
      <c r="E144" s="163"/>
      <c r="G144" s="164"/>
      <c r="L144" s="165"/>
      <c r="M144" s="166"/>
      <c r="N144" s="166"/>
      <c r="P144" s="167"/>
      <c r="T144" s="164"/>
      <c r="X144" s="162"/>
      <c r="Y144" s="168"/>
      <c r="AQ144" s="166"/>
    </row>
    <row r="145">
      <c r="D145" s="162"/>
      <c r="E145" s="163"/>
      <c r="G145" s="164"/>
      <c r="L145" s="165"/>
      <c r="M145" s="166"/>
      <c r="N145" s="166"/>
      <c r="P145" s="167"/>
      <c r="T145" s="164"/>
      <c r="X145" s="162"/>
      <c r="Y145" s="168"/>
      <c r="AQ145" s="166"/>
    </row>
    <row r="146">
      <c r="D146" s="162"/>
      <c r="E146" s="163"/>
      <c r="G146" s="164"/>
      <c r="L146" s="165"/>
      <c r="M146" s="166"/>
      <c r="N146" s="166"/>
      <c r="P146" s="167"/>
      <c r="T146" s="164"/>
      <c r="X146" s="162"/>
      <c r="Y146" s="168"/>
      <c r="AQ146" s="166"/>
    </row>
    <row r="147">
      <c r="D147" s="162"/>
      <c r="E147" s="163"/>
      <c r="G147" s="164"/>
      <c r="L147" s="165"/>
      <c r="M147" s="166"/>
      <c r="N147" s="166"/>
      <c r="P147" s="167"/>
      <c r="T147" s="164"/>
      <c r="X147" s="162"/>
      <c r="Y147" s="168"/>
      <c r="AQ147" s="166"/>
    </row>
    <row r="148">
      <c r="D148" s="162"/>
      <c r="E148" s="163"/>
      <c r="G148" s="164"/>
      <c r="L148" s="165"/>
      <c r="M148" s="166"/>
      <c r="N148" s="166"/>
      <c r="P148" s="167"/>
      <c r="T148" s="164"/>
      <c r="X148" s="162"/>
      <c r="Y148" s="168"/>
      <c r="AQ148" s="166"/>
    </row>
    <row r="149">
      <c r="D149" s="162"/>
      <c r="E149" s="163"/>
      <c r="G149" s="164"/>
      <c r="L149" s="165"/>
      <c r="M149" s="166"/>
      <c r="N149" s="166"/>
      <c r="P149" s="167"/>
      <c r="T149" s="164"/>
      <c r="X149" s="162"/>
      <c r="Y149" s="168"/>
      <c r="AQ149" s="166"/>
    </row>
    <row r="150">
      <c r="D150" s="162"/>
      <c r="E150" s="163"/>
      <c r="G150" s="164"/>
      <c r="L150" s="165"/>
      <c r="M150" s="166"/>
      <c r="N150" s="166"/>
      <c r="P150" s="167"/>
      <c r="T150" s="164"/>
      <c r="X150" s="162"/>
      <c r="Y150" s="168"/>
      <c r="AQ150" s="166"/>
    </row>
    <row r="151">
      <c r="D151" s="162"/>
      <c r="E151" s="163"/>
      <c r="G151" s="164"/>
      <c r="L151" s="165"/>
      <c r="M151" s="166"/>
      <c r="N151" s="166"/>
      <c r="P151" s="167"/>
      <c r="T151" s="164"/>
      <c r="X151" s="162"/>
      <c r="Y151" s="168"/>
      <c r="AQ151" s="166"/>
    </row>
    <row r="152">
      <c r="D152" s="162"/>
      <c r="E152" s="163"/>
      <c r="G152" s="164"/>
      <c r="L152" s="165"/>
      <c r="M152" s="166"/>
      <c r="N152" s="166"/>
      <c r="P152" s="167"/>
      <c r="T152" s="164"/>
      <c r="X152" s="162"/>
      <c r="Y152" s="168"/>
      <c r="AQ152" s="166"/>
    </row>
    <row r="153">
      <c r="D153" s="162"/>
      <c r="E153" s="163"/>
      <c r="G153" s="164"/>
      <c r="L153" s="165"/>
      <c r="M153" s="166"/>
      <c r="N153" s="166"/>
      <c r="P153" s="167"/>
      <c r="T153" s="164"/>
      <c r="X153" s="162"/>
      <c r="Y153" s="168"/>
      <c r="AQ153" s="166"/>
    </row>
    <row r="154">
      <c r="D154" s="162"/>
      <c r="E154" s="163"/>
      <c r="G154" s="164"/>
      <c r="L154" s="165"/>
      <c r="M154" s="166"/>
      <c r="N154" s="166"/>
      <c r="P154" s="167"/>
      <c r="T154" s="164"/>
      <c r="X154" s="162"/>
      <c r="Y154" s="168"/>
      <c r="AQ154" s="166"/>
    </row>
    <row r="155">
      <c r="D155" s="162"/>
      <c r="E155" s="163"/>
      <c r="G155" s="164"/>
      <c r="L155" s="165"/>
      <c r="M155" s="166"/>
      <c r="N155" s="166"/>
      <c r="P155" s="167"/>
      <c r="T155" s="164"/>
      <c r="X155" s="162"/>
      <c r="Y155" s="168"/>
      <c r="AQ155" s="166"/>
    </row>
    <row r="156">
      <c r="D156" s="162"/>
      <c r="E156" s="163"/>
      <c r="G156" s="164"/>
      <c r="L156" s="165"/>
      <c r="M156" s="166"/>
      <c r="N156" s="166"/>
      <c r="P156" s="167"/>
      <c r="T156" s="164"/>
      <c r="X156" s="162"/>
      <c r="Y156" s="168"/>
      <c r="AQ156" s="166"/>
    </row>
    <row r="157">
      <c r="D157" s="162"/>
      <c r="E157" s="163"/>
      <c r="G157" s="164"/>
      <c r="L157" s="165"/>
      <c r="M157" s="166"/>
      <c r="N157" s="166"/>
      <c r="P157" s="167"/>
      <c r="T157" s="164"/>
      <c r="X157" s="162"/>
      <c r="Y157" s="168"/>
      <c r="AQ157" s="166"/>
    </row>
    <row r="158">
      <c r="D158" s="162"/>
      <c r="E158" s="163"/>
      <c r="G158" s="164"/>
      <c r="L158" s="165"/>
      <c r="M158" s="166"/>
      <c r="N158" s="166"/>
      <c r="P158" s="167"/>
      <c r="T158" s="164"/>
      <c r="X158" s="162"/>
      <c r="Y158" s="168"/>
      <c r="AQ158" s="166"/>
    </row>
    <row r="159">
      <c r="D159" s="162"/>
      <c r="E159" s="163"/>
      <c r="G159" s="164"/>
      <c r="L159" s="165"/>
      <c r="M159" s="166"/>
      <c r="N159" s="166"/>
      <c r="P159" s="167"/>
      <c r="T159" s="164"/>
      <c r="X159" s="162"/>
      <c r="Y159" s="168"/>
      <c r="AQ159" s="166"/>
    </row>
    <row r="160">
      <c r="D160" s="162"/>
      <c r="E160" s="163"/>
      <c r="G160" s="164"/>
      <c r="L160" s="165"/>
      <c r="M160" s="166"/>
      <c r="N160" s="166"/>
      <c r="P160" s="167"/>
      <c r="T160" s="164"/>
      <c r="X160" s="162"/>
      <c r="Y160" s="168"/>
      <c r="AQ160" s="166"/>
    </row>
    <row r="161">
      <c r="D161" s="162"/>
      <c r="E161" s="163"/>
      <c r="G161" s="164"/>
      <c r="L161" s="165"/>
      <c r="M161" s="166"/>
      <c r="N161" s="166"/>
      <c r="P161" s="167"/>
      <c r="T161" s="164"/>
      <c r="X161" s="162"/>
      <c r="Y161" s="168"/>
      <c r="AQ161" s="166"/>
    </row>
    <row r="162">
      <c r="D162" s="162"/>
      <c r="E162" s="163"/>
      <c r="G162" s="164"/>
      <c r="L162" s="165"/>
      <c r="M162" s="166"/>
      <c r="N162" s="166"/>
      <c r="P162" s="167"/>
      <c r="T162" s="164"/>
      <c r="X162" s="162"/>
      <c r="Y162" s="168"/>
      <c r="AQ162" s="166"/>
    </row>
    <row r="163">
      <c r="D163" s="162"/>
      <c r="E163" s="163"/>
      <c r="G163" s="164"/>
      <c r="L163" s="165"/>
      <c r="M163" s="166"/>
      <c r="N163" s="166"/>
      <c r="P163" s="167"/>
      <c r="T163" s="164"/>
      <c r="X163" s="162"/>
      <c r="Y163" s="168"/>
      <c r="AQ163" s="166"/>
    </row>
    <row r="164">
      <c r="D164" s="162"/>
      <c r="E164" s="163"/>
      <c r="G164" s="164"/>
      <c r="L164" s="165"/>
      <c r="M164" s="166"/>
      <c r="N164" s="166"/>
      <c r="P164" s="167"/>
      <c r="T164" s="164"/>
      <c r="X164" s="162"/>
      <c r="Y164" s="168"/>
      <c r="AQ164" s="166"/>
    </row>
    <row r="165">
      <c r="D165" s="162"/>
      <c r="E165" s="163"/>
      <c r="G165" s="164"/>
      <c r="L165" s="165"/>
      <c r="M165" s="166"/>
      <c r="N165" s="166"/>
      <c r="P165" s="167"/>
      <c r="T165" s="164"/>
      <c r="X165" s="162"/>
      <c r="Y165" s="168"/>
      <c r="AQ165" s="166"/>
    </row>
    <row r="166">
      <c r="D166" s="162"/>
      <c r="E166" s="163"/>
      <c r="G166" s="164"/>
      <c r="L166" s="165"/>
      <c r="M166" s="166"/>
      <c r="N166" s="166"/>
      <c r="P166" s="167"/>
      <c r="T166" s="164"/>
      <c r="X166" s="162"/>
      <c r="Y166" s="168"/>
      <c r="AQ166" s="166"/>
    </row>
    <row r="167">
      <c r="D167" s="162"/>
      <c r="E167" s="163"/>
      <c r="G167" s="164"/>
      <c r="L167" s="165"/>
      <c r="M167" s="166"/>
      <c r="N167" s="166"/>
      <c r="P167" s="167"/>
      <c r="T167" s="164"/>
      <c r="X167" s="162"/>
      <c r="Y167" s="168"/>
      <c r="AQ167" s="166"/>
    </row>
    <row r="168">
      <c r="D168" s="162"/>
      <c r="E168" s="163"/>
      <c r="G168" s="164"/>
      <c r="L168" s="165"/>
      <c r="M168" s="166"/>
      <c r="N168" s="166"/>
      <c r="P168" s="167"/>
      <c r="T168" s="164"/>
      <c r="X168" s="162"/>
      <c r="Y168" s="168"/>
      <c r="AQ168" s="166"/>
    </row>
    <row r="169">
      <c r="D169" s="162"/>
      <c r="E169" s="163"/>
      <c r="G169" s="164"/>
      <c r="L169" s="165"/>
      <c r="M169" s="166"/>
      <c r="N169" s="166"/>
      <c r="P169" s="167"/>
      <c r="T169" s="164"/>
      <c r="X169" s="162"/>
      <c r="Y169" s="168"/>
      <c r="AQ169" s="166"/>
    </row>
    <row r="170">
      <c r="D170" s="162"/>
      <c r="E170" s="163"/>
      <c r="G170" s="164"/>
      <c r="L170" s="165"/>
      <c r="M170" s="166"/>
      <c r="N170" s="166"/>
      <c r="P170" s="167"/>
      <c r="T170" s="164"/>
      <c r="X170" s="162"/>
      <c r="Y170" s="168"/>
      <c r="AQ170" s="166"/>
    </row>
    <row r="171">
      <c r="D171" s="162"/>
      <c r="E171" s="163"/>
      <c r="G171" s="164"/>
      <c r="L171" s="165"/>
      <c r="M171" s="166"/>
      <c r="N171" s="166"/>
      <c r="P171" s="167"/>
      <c r="T171" s="164"/>
      <c r="X171" s="162"/>
      <c r="Y171" s="168"/>
      <c r="AQ171" s="166"/>
    </row>
    <row r="172">
      <c r="D172" s="162"/>
      <c r="E172" s="163"/>
      <c r="G172" s="164"/>
      <c r="L172" s="165"/>
      <c r="M172" s="166"/>
      <c r="N172" s="166"/>
      <c r="P172" s="167"/>
      <c r="T172" s="164"/>
      <c r="X172" s="162"/>
      <c r="Y172" s="168"/>
      <c r="AQ172" s="166"/>
    </row>
    <row r="173">
      <c r="D173" s="162"/>
      <c r="E173" s="163"/>
      <c r="G173" s="164"/>
      <c r="L173" s="165"/>
      <c r="M173" s="166"/>
      <c r="N173" s="166"/>
      <c r="P173" s="167"/>
      <c r="T173" s="164"/>
      <c r="X173" s="162"/>
      <c r="Y173" s="168"/>
      <c r="AQ173" s="166"/>
    </row>
    <row r="174">
      <c r="D174" s="162"/>
      <c r="E174" s="163"/>
      <c r="G174" s="164"/>
      <c r="L174" s="165"/>
      <c r="M174" s="166"/>
      <c r="N174" s="166"/>
      <c r="P174" s="167"/>
      <c r="T174" s="164"/>
      <c r="X174" s="162"/>
      <c r="Y174" s="168"/>
      <c r="AQ174" s="166"/>
    </row>
    <row r="175">
      <c r="D175" s="162"/>
      <c r="E175" s="163"/>
      <c r="G175" s="164"/>
      <c r="L175" s="165"/>
      <c r="M175" s="166"/>
      <c r="N175" s="166"/>
      <c r="P175" s="167"/>
      <c r="T175" s="164"/>
      <c r="X175" s="162"/>
      <c r="Y175" s="168"/>
      <c r="AQ175" s="166"/>
    </row>
    <row r="176">
      <c r="D176" s="162"/>
      <c r="E176" s="163"/>
      <c r="G176" s="164"/>
      <c r="L176" s="165"/>
      <c r="M176" s="166"/>
      <c r="N176" s="166"/>
      <c r="P176" s="167"/>
      <c r="T176" s="164"/>
      <c r="X176" s="162"/>
      <c r="Y176" s="168"/>
      <c r="AQ176" s="166"/>
    </row>
    <row r="177">
      <c r="D177" s="162"/>
      <c r="E177" s="163"/>
      <c r="G177" s="164"/>
      <c r="L177" s="165"/>
      <c r="M177" s="166"/>
      <c r="N177" s="166"/>
      <c r="P177" s="167"/>
      <c r="T177" s="164"/>
      <c r="X177" s="162"/>
      <c r="Y177" s="168"/>
      <c r="AQ177" s="166"/>
    </row>
    <row r="178">
      <c r="D178" s="162"/>
      <c r="E178" s="163"/>
      <c r="G178" s="164"/>
      <c r="L178" s="165"/>
      <c r="M178" s="166"/>
      <c r="N178" s="166"/>
      <c r="P178" s="167"/>
      <c r="T178" s="164"/>
      <c r="X178" s="162"/>
      <c r="Y178" s="168"/>
      <c r="AQ178" s="166"/>
    </row>
    <row r="179">
      <c r="D179" s="162"/>
      <c r="E179" s="163"/>
      <c r="G179" s="164"/>
      <c r="L179" s="165"/>
      <c r="M179" s="166"/>
      <c r="N179" s="166"/>
      <c r="P179" s="167"/>
      <c r="T179" s="164"/>
      <c r="X179" s="162"/>
      <c r="Y179" s="168"/>
      <c r="AQ179" s="166"/>
    </row>
    <row r="180">
      <c r="D180" s="162"/>
      <c r="E180" s="163"/>
      <c r="G180" s="164"/>
      <c r="L180" s="165"/>
      <c r="M180" s="166"/>
      <c r="N180" s="166"/>
      <c r="P180" s="167"/>
      <c r="T180" s="164"/>
      <c r="X180" s="162"/>
      <c r="Y180" s="168"/>
      <c r="AQ180" s="166"/>
    </row>
    <row r="181">
      <c r="D181" s="162"/>
      <c r="E181" s="163"/>
      <c r="G181" s="164"/>
      <c r="L181" s="165"/>
      <c r="M181" s="166"/>
      <c r="N181" s="166"/>
      <c r="P181" s="167"/>
      <c r="T181" s="164"/>
      <c r="X181" s="162"/>
      <c r="Y181" s="168"/>
      <c r="AQ181" s="166"/>
    </row>
    <row r="182">
      <c r="D182" s="162"/>
      <c r="E182" s="163"/>
      <c r="G182" s="164"/>
      <c r="L182" s="165"/>
      <c r="M182" s="166"/>
      <c r="N182" s="166"/>
      <c r="P182" s="167"/>
      <c r="T182" s="164"/>
      <c r="X182" s="162"/>
      <c r="Y182" s="168"/>
      <c r="AQ182" s="166"/>
    </row>
    <row r="183">
      <c r="D183" s="162"/>
      <c r="E183" s="163"/>
      <c r="G183" s="164"/>
      <c r="L183" s="165"/>
      <c r="M183" s="166"/>
      <c r="N183" s="166"/>
      <c r="P183" s="167"/>
      <c r="T183" s="164"/>
      <c r="X183" s="162"/>
      <c r="Y183" s="168"/>
      <c r="AQ183" s="166"/>
    </row>
    <row r="184">
      <c r="D184" s="162"/>
      <c r="E184" s="163"/>
      <c r="G184" s="164"/>
      <c r="L184" s="165"/>
      <c r="M184" s="166"/>
      <c r="N184" s="166"/>
      <c r="P184" s="167"/>
      <c r="T184" s="164"/>
      <c r="X184" s="162"/>
      <c r="Y184" s="168"/>
      <c r="AQ184" s="166"/>
    </row>
    <row r="185">
      <c r="D185" s="162"/>
      <c r="E185" s="163"/>
      <c r="G185" s="164"/>
      <c r="L185" s="165"/>
      <c r="M185" s="166"/>
      <c r="N185" s="166"/>
      <c r="P185" s="167"/>
      <c r="T185" s="164"/>
      <c r="X185" s="162"/>
      <c r="Y185" s="168"/>
      <c r="AQ185" s="166"/>
    </row>
    <row r="186">
      <c r="D186" s="162"/>
      <c r="E186" s="163"/>
      <c r="G186" s="164"/>
      <c r="L186" s="165"/>
      <c r="M186" s="166"/>
      <c r="N186" s="166"/>
      <c r="P186" s="167"/>
      <c r="T186" s="164"/>
      <c r="X186" s="162"/>
      <c r="Y186" s="168"/>
      <c r="AQ186" s="166"/>
    </row>
    <row r="187">
      <c r="D187" s="162"/>
      <c r="E187" s="163"/>
      <c r="G187" s="164"/>
      <c r="L187" s="165"/>
      <c r="M187" s="166"/>
      <c r="N187" s="166"/>
      <c r="P187" s="167"/>
      <c r="T187" s="164"/>
      <c r="X187" s="162"/>
      <c r="Y187" s="168"/>
      <c r="AQ187" s="166"/>
    </row>
    <row r="188">
      <c r="D188" s="162"/>
      <c r="E188" s="163"/>
      <c r="G188" s="164"/>
      <c r="L188" s="165"/>
      <c r="M188" s="166"/>
      <c r="N188" s="166"/>
      <c r="P188" s="167"/>
      <c r="T188" s="164"/>
      <c r="X188" s="162"/>
      <c r="Y188" s="168"/>
      <c r="AQ188" s="166"/>
    </row>
    <row r="189">
      <c r="D189" s="162"/>
      <c r="E189" s="163"/>
      <c r="G189" s="164"/>
      <c r="L189" s="165"/>
      <c r="M189" s="166"/>
      <c r="N189" s="166"/>
      <c r="P189" s="167"/>
      <c r="T189" s="164"/>
      <c r="X189" s="162"/>
      <c r="Y189" s="168"/>
      <c r="AQ189" s="166"/>
    </row>
    <row r="190">
      <c r="D190" s="162"/>
      <c r="E190" s="163"/>
      <c r="G190" s="164"/>
      <c r="L190" s="165"/>
      <c r="M190" s="166"/>
      <c r="N190" s="166"/>
      <c r="P190" s="167"/>
      <c r="T190" s="164"/>
      <c r="X190" s="162"/>
      <c r="Y190" s="168"/>
      <c r="AQ190" s="166"/>
    </row>
    <row r="191">
      <c r="D191" s="162"/>
      <c r="E191" s="163"/>
      <c r="G191" s="164"/>
      <c r="L191" s="165"/>
      <c r="M191" s="166"/>
      <c r="N191" s="166"/>
      <c r="P191" s="167"/>
      <c r="T191" s="164"/>
      <c r="X191" s="162"/>
      <c r="Y191" s="168"/>
      <c r="AQ191" s="166"/>
    </row>
    <row r="192">
      <c r="D192" s="162"/>
      <c r="E192" s="163"/>
      <c r="G192" s="164"/>
      <c r="L192" s="165"/>
      <c r="M192" s="166"/>
      <c r="N192" s="166"/>
      <c r="P192" s="167"/>
      <c r="T192" s="164"/>
      <c r="X192" s="162"/>
      <c r="Y192" s="168"/>
      <c r="AQ192" s="166"/>
    </row>
    <row r="193">
      <c r="D193" s="162"/>
      <c r="E193" s="163"/>
      <c r="G193" s="164"/>
      <c r="L193" s="165"/>
      <c r="M193" s="166"/>
      <c r="N193" s="166"/>
      <c r="P193" s="167"/>
      <c r="T193" s="164"/>
      <c r="X193" s="162"/>
      <c r="Y193" s="168"/>
      <c r="AQ193" s="166"/>
    </row>
    <row r="194">
      <c r="D194" s="162"/>
      <c r="E194" s="163"/>
      <c r="G194" s="164"/>
      <c r="L194" s="165"/>
      <c r="M194" s="166"/>
      <c r="N194" s="166"/>
      <c r="P194" s="167"/>
      <c r="T194" s="164"/>
      <c r="X194" s="162"/>
      <c r="Y194" s="168"/>
      <c r="AQ194" s="166"/>
    </row>
    <row r="195">
      <c r="D195" s="162"/>
      <c r="E195" s="163"/>
      <c r="G195" s="164"/>
      <c r="L195" s="165"/>
      <c r="M195" s="166"/>
      <c r="N195" s="166"/>
      <c r="P195" s="167"/>
      <c r="T195" s="164"/>
      <c r="X195" s="162"/>
      <c r="Y195" s="168"/>
      <c r="AQ195" s="166"/>
    </row>
    <row r="196">
      <c r="D196" s="162"/>
      <c r="E196" s="163"/>
      <c r="G196" s="164"/>
      <c r="L196" s="165"/>
      <c r="M196" s="166"/>
      <c r="N196" s="166"/>
      <c r="P196" s="167"/>
      <c r="T196" s="164"/>
      <c r="X196" s="162"/>
      <c r="Y196" s="168"/>
      <c r="AQ196" s="166"/>
    </row>
    <row r="197">
      <c r="D197" s="162"/>
      <c r="E197" s="163"/>
      <c r="G197" s="164"/>
      <c r="L197" s="165"/>
      <c r="M197" s="166"/>
      <c r="N197" s="166"/>
      <c r="P197" s="167"/>
      <c r="T197" s="164"/>
      <c r="X197" s="162"/>
      <c r="Y197" s="168"/>
      <c r="AQ197" s="166"/>
    </row>
    <row r="198">
      <c r="D198" s="162"/>
      <c r="E198" s="163"/>
      <c r="G198" s="164"/>
      <c r="L198" s="165"/>
      <c r="M198" s="166"/>
      <c r="N198" s="166"/>
      <c r="P198" s="167"/>
      <c r="T198" s="164"/>
      <c r="X198" s="162"/>
      <c r="Y198" s="168"/>
      <c r="AQ198" s="166"/>
    </row>
    <row r="199">
      <c r="D199" s="162"/>
      <c r="E199" s="163"/>
      <c r="G199" s="164"/>
      <c r="L199" s="165"/>
      <c r="M199" s="166"/>
      <c r="N199" s="166"/>
      <c r="P199" s="167"/>
      <c r="T199" s="164"/>
      <c r="X199" s="162"/>
      <c r="Y199" s="168"/>
      <c r="AQ199" s="166"/>
    </row>
    <row r="200">
      <c r="D200" s="162"/>
      <c r="E200" s="163"/>
      <c r="G200" s="164"/>
      <c r="L200" s="165"/>
      <c r="M200" s="166"/>
      <c r="N200" s="166"/>
      <c r="P200" s="167"/>
      <c r="T200" s="164"/>
      <c r="X200" s="162"/>
      <c r="Y200" s="168"/>
      <c r="AQ200" s="166"/>
    </row>
    <row r="201">
      <c r="D201" s="162"/>
      <c r="E201" s="163"/>
      <c r="G201" s="164"/>
      <c r="L201" s="165"/>
      <c r="M201" s="166"/>
      <c r="N201" s="166"/>
      <c r="P201" s="167"/>
      <c r="T201" s="164"/>
      <c r="X201" s="162"/>
      <c r="Y201" s="168"/>
      <c r="AQ201" s="166"/>
    </row>
    <row r="202">
      <c r="D202" s="162"/>
      <c r="E202" s="163"/>
      <c r="G202" s="164"/>
      <c r="L202" s="165"/>
      <c r="M202" s="166"/>
      <c r="N202" s="166"/>
      <c r="P202" s="167"/>
      <c r="T202" s="164"/>
      <c r="X202" s="162"/>
      <c r="Y202" s="168"/>
      <c r="AQ202" s="166"/>
    </row>
    <row r="203">
      <c r="D203" s="162"/>
      <c r="E203" s="163"/>
      <c r="G203" s="164"/>
      <c r="L203" s="165"/>
      <c r="M203" s="166"/>
      <c r="N203" s="166"/>
      <c r="P203" s="167"/>
      <c r="T203" s="164"/>
      <c r="X203" s="162"/>
      <c r="Y203" s="168"/>
      <c r="AQ203" s="166"/>
    </row>
    <row r="204">
      <c r="D204" s="162"/>
      <c r="E204" s="163"/>
      <c r="G204" s="164"/>
      <c r="L204" s="165"/>
      <c r="M204" s="166"/>
      <c r="N204" s="166"/>
      <c r="P204" s="167"/>
      <c r="T204" s="164"/>
      <c r="X204" s="162"/>
      <c r="Y204" s="168"/>
      <c r="AQ204" s="166"/>
    </row>
    <row r="205">
      <c r="D205" s="162"/>
      <c r="E205" s="163"/>
      <c r="G205" s="164"/>
      <c r="L205" s="165"/>
      <c r="M205" s="166"/>
      <c r="N205" s="166"/>
      <c r="P205" s="167"/>
      <c r="T205" s="164"/>
      <c r="X205" s="162"/>
      <c r="Y205" s="168"/>
      <c r="AQ205" s="166"/>
    </row>
    <row r="206">
      <c r="D206" s="162"/>
      <c r="E206" s="163"/>
      <c r="G206" s="164"/>
      <c r="L206" s="165"/>
      <c r="M206" s="166"/>
      <c r="N206" s="166"/>
      <c r="P206" s="167"/>
      <c r="T206" s="164"/>
      <c r="X206" s="162"/>
      <c r="Y206" s="168"/>
      <c r="AQ206" s="166"/>
    </row>
    <row r="207">
      <c r="D207" s="162"/>
      <c r="E207" s="163"/>
      <c r="G207" s="164"/>
      <c r="L207" s="165"/>
      <c r="M207" s="166"/>
      <c r="N207" s="166"/>
      <c r="P207" s="167"/>
      <c r="T207" s="164"/>
      <c r="X207" s="162"/>
      <c r="Y207" s="168"/>
      <c r="AQ207" s="166"/>
    </row>
    <row r="208">
      <c r="D208" s="162"/>
      <c r="E208" s="163"/>
      <c r="G208" s="164"/>
      <c r="L208" s="165"/>
      <c r="M208" s="166"/>
      <c r="N208" s="166"/>
      <c r="P208" s="167"/>
      <c r="T208" s="164"/>
      <c r="X208" s="162"/>
      <c r="Y208" s="168"/>
      <c r="AQ208" s="166"/>
    </row>
    <row r="209">
      <c r="D209" s="162"/>
      <c r="E209" s="163"/>
      <c r="G209" s="164"/>
      <c r="L209" s="165"/>
      <c r="M209" s="166"/>
      <c r="N209" s="166"/>
      <c r="P209" s="167"/>
      <c r="T209" s="164"/>
      <c r="X209" s="162"/>
      <c r="Y209" s="168"/>
      <c r="AQ209" s="166"/>
    </row>
    <row r="210">
      <c r="D210" s="162"/>
      <c r="E210" s="163"/>
      <c r="G210" s="164"/>
      <c r="L210" s="165"/>
      <c r="M210" s="166"/>
      <c r="N210" s="166"/>
      <c r="P210" s="167"/>
      <c r="T210" s="164"/>
      <c r="X210" s="162"/>
      <c r="Y210" s="168"/>
      <c r="AQ210" s="166"/>
    </row>
    <row r="211">
      <c r="D211" s="162"/>
      <c r="E211" s="163"/>
      <c r="G211" s="164"/>
      <c r="L211" s="165"/>
      <c r="M211" s="166"/>
      <c r="N211" s="166"/>
      <c r="P211" s="167"/>
      <c r="T211" s="164"/>
      <c r="X211" s="162"/>
      <c r="Y211" s="168"/>
      <c r="AQ211" s="166"/>
    </row>
    <row r="212">
      <c r="D212" s="162"/>
      <c r="E212" s="163"/>
      <c r="G212" s="164"/>
      <c r="L212" s="165"/>
      <c r="M212" s="166"/>
      <c r="N212" s="166"/>
      <c r="P212" s="167"/>
      <c r="T212" s="164"/>
      <c r="X212" s="162"/>
      <c r="Y212" s="168"/>
      <c r="AQ212" s="166"/>
    </row>
    <row r="213">
      <c r="D213" s="162"/>
      <c r="E213" s="163"/>
      <c r="G213" s="164"/>
      <c r="L213" s="165"/>
      <c r="M213" s="166"/>
      <c r="N213" s="166"/>
      <c r="P213" s="167"/>
      <c r="T213" s="164"/>
      <c r="X213" s="162"/>
      <c r="Y213" s="168"/>
      <c r="AQ213" s="166"/>
    </row>
    <row r="214">
      <c r="D214" s="162"/>
      <c r="E214" s="163"/>
      <c r="G214" s="164"/>
      <c r="L214" s="165"/>
      <c r="M214" s="166"/>
      <c r="N214" s="166"/>
      <c r="P214" s="167"/>
      <c r="T214" s="164"/>
      <c r="X214" s="162"/>
      <c r="Y214" s="168"/>
      <c r="AQ214" s="166"/>
    </row>
    <row r="215">
      <c r="D215" s="162"/>
      <c r="E215" s="163"/>
      <c r="G215" s="164"/>
      <c r="L215" s="165"/>
      <c r="M215" s="166"/>
      <c r="N215" s="166"/>
      <c r="P215" s="167"/>
      <c r="T215" s="164"/>
      <c r="X215" s="162"/>
      <c r="Y215" s="168"/>
      <c r="AQ215" s="166"/>
    </row>
    <row r="216">
      <c r="D216" s="162"/>
      <c r="E216" s="163"/>
      <c r="G216" s="164"/>
      <c r="L216" s="165"/>
      <c r="M216" s="166"/>
      <c r="N216" s="166"/>
      <c r="P216" s="167"/>
      <c r="T216" s="164"/>
      <c r="X216" s="162"/>
      <c r="Y216" s="168"/>
      <c r="AQ216" s="166"/>
    </row>
    <row r="217">
      <c r="D217" s="162"/>
      <c r="E217" s="163"/>
      <c r="G217" s="164"/>
      <c r="L217" s="165"/>
      <c r="M217" s="166"/>
      <c r="N217" s="166"/>
      <c r="P217" s="167"/>
      <c r="T217" s="164"/>
      <c r="X217" s="162"/>
      <c r="Y217" s="168"/>
      <c r="AQ217" s="166"/>
    </row>
    <row r="218">
      <c r="D218" s="162"/>
      <c r="E218" s="163"/>
      <c r="G218" s="164"/>
      <c r="L218" s="165"/>
      <c r="M218" s="166"/>
      <c r="N218" s="166"/>
      <c r="P218" s="167"/>
      <c r="T218" s="164"/>
      <c r="X218" s="162"/>
      <c r="Y218" s="168"/>
      <c r="AQ218" s="166"/>
    </row>
    <row r="219">
      <c r="D219" s="162"/>
      <c r="E219" s="163"/>
      <c r="G219" s="164"/>
      <c r="L219" s="165"/>
      <c r="M219" s="166"/>
      <c r="N219" s="166"/>
      <c r="P219" s="167"/>
      <c r="T219" s="164"/>
      <c r="X219" s="162"/>
      <c r="Y219" s="168"/>
      <c r="AQ219" s="166"/>
    </row>
    <row r="220">
      <c r="D220" s="162"/>
      <c r="E220" s="163"/>
      <c r="G220" s="164"/>
      <c r="L220" s="165"/>
      <c r="M220" s="166"/>
      <c r="N220" s="166"/>
      <c r="P220" s="167"/>
      <c r="T220" s="164"/>
      <c r="X220" s="162"/>
      <c r="Y220" s="168"/>
      <c r="AQ220" s="166"/>
    </row>
    <row r="221">
      <c r="D221" s="162"/>
      <c r="E221" s="163"/>
      <c r="G221" s="164"/>
      <c r="L221" s="165"/>
      <c r="M221" s="166"/>
      <c r="N221" s="166"/>
      <c r="P221" s="167"/>
      <c r="T221" s="164"/>
      <c r="X221" s="162"/>
      <c r="Y221" s="168"/>
      <c r="AQ221" s="166"/>
    </row>
    <row r="222">
      <c r="D222" s="162"/>
      <c r="E222" s="163"/>
      <c r="G222" s="164"/>
      <c r="L222" s="165"/>
      <c r="M222" s="166"/>
      <c r="N222" s="166"/>
      <c r="P222" s="167"/>
      <c r="T222" s="164"/>
      <c r="X222" s="162"/>
      <c r="Y222" s="168"/>
      <c r="AQ222" s="166"/>
    </row>
    <row r="223">
      <c r="D223" s="162"/>
      <c r="E223" s="163"/>
      <c r="G223" s="164"/>
      <c r="L223" s="165"/>
      <c r="M223" s="166"/>
      <c r="N223" s="166"/>
      <c r="P223" s="167"/>
      <c r="T223" s="164"/>
      <c r="X223" s="162"/>
      <c r="Y223" s="168"/>
      <c r="AQ223" s="166"/>
    </row>
    <row r="224">
      <c r="D224" s="162"/>
      <c r="E224" s="163"/>
      <c r="G224" s="164"/>
      <c r="L224" s="165"/>
      <c r="M224" s="166"/>
      <c r="N224" s="166"/>
      <c r="P224" s="167"/>
      <c r="T224" s="164"/>
      <c r="X224" s="162"/>
      <c r="Y224" s="168"/>
      <c r="AQ224" s="166"/>
    </row>
    <row r="225">
      <c r="D225" s="162"/>
      <c r="E225" s="163"/>
      <c r="G225" s="164"/>
      <c r="L225" s="165"/>
      <c r="M225" s="166"/>
      <c r="N225" s="166"/>
      <c r="P225" s="167"/>
      <c r="T225" s="164"/>
      <c r="X225" s="162"/>
      <c r="Y225" s="168"/>
      <c r="AQ225" s="166"/>
    </row>
    <row r="226">
      <c r="D226" s="162"/>
      <c r="E226" s="163"/>
      <c r="G226" s="164"/>
      <c r="L226" s="165"/>
      <c r="M226" s="166"/>
      <c r="N226" s="166"/>
      <c r="P226" s="167"/>
      <c r="T226" s="164"/>
      <c r="X226" s="162"/>
      <c r="Y226" s="168"/>
      <c r="AQ226" s="166"/>
    </row>
    <row r="227">
      <c r="D227" s="162"/>
      <c r="E227" s="163"/>
      <c r="G227" s="164"/>
      <c r="L227" s="165"/>
      <c r="M227" s="166"/>
      <c r="N227" s="166"/>
      <c r="P227" s="167"/>
      <c r="T227" s="164"/>
      <c r="X227" s="162"/>
      <c r="Y227" s="168"/>
      <c r="AQ227" s="166"/>
    </row>
    <row r="228">
      <c r="D228" s="162"/>
      <c r="E228" s="163"/>
      <c r="G228" s="164"/>
      <c r="L228" s="165"/>
      <c r="M228" s="166"/>
      <c r="N228" s="166"/>
      <c r="P228" s="167"/>
      <c r="T228" s="164"/>
      <c r="X228" s="162"/>
      <c r="Y228" s="168"/>
      <c r="AQ228" s="166"/>
    </row>
    <row r="229">
      <c r="D229" s="162"/>
      <c r="E229" s="163"/>
      <c r="G229" s="164"/>
      <c r="L229" s="165"/>
      <c r="M229" s="166"/>
      <c r="N229" s="166"/>
      <c r="P229" s="167"/>
      <c r="T229" s="164"/>
      <c r="X229" s="162"/>
      <c r="Y229" s="168"/>
      <c r="AQ229" s="166"/>
    </row>
    <row r="230">
      <c r="D230" s="162"/>
      <c r="E230" s="163"/>
      <c r="G230" s="164"/>
      <c r="L230" s="165"/>
      <c r="M230" s="166"/>
      <c r="N230" s="166"/>
      <c r="P230" s="167"/>
      <c r="T230" s="164"/>
      <c r="X230" s="162"/>
      <c r="Y230" s="168"/>
      <c r="AQ230" s="166"/>
    </row>
    <row r="231">
      <c r="D231" s="162"/>
      <c r="E231" s="163"/>
      <c r="G231" s="164"/>
      <c r="L231" s="165"/>
      <c r="M231" s="166"/>
      <c r="N231" s="166"/>
      <c r="P231" s="167"/>
      <c r="T231" s="164"/>
      <c r="X231" s="162"/>
      <c r="Y231" s="168"/>
      <c r="AQ231" s="166"/>
    </row>
    <row r="232">
      <c r="D232" s="162"/>
      <c r="E232" s="163"/>
      <c r="G232" s="164"/>
      <c r="L232" s="165"/>
      <c r="M232" s="166"/>
      <c r="N232" s="166"/>
      <c r="P232" s="167"/>
      <c r="T232" s="164"/>
      <c r="X232" s="162"/>
      <c r="Y232" s="168"/>
      <c r="AQ232" s="166"/>
    </row>
    <row r="233">
      <c r="D233" s="162"/>
      <c r="E233" s="163"/>
      <c r="G233" s="164"/>
      <c r="L233" s="165"/>
      <c r="M233" s="166"/>
      <c r="N233" s="166"/>
      <c r="P233" s="167"/>
      <c r="T233" s="164"/>
      <c r="X233" s="162"/>
      <c r="Y233" s="168"/>
      <c r="AQ233" s="166"/>
    </row>
    <row r="234">
      <c r="D234" s="162"/>
      <c r="E234" s="163"/>
      <c r="G234" s="164"/>
      <c r="L234" s="165"/>
      <c r="M234" s="166"/>
      <c r="N234" s="166"/>
      <c r="P234" s="167"/>
      <c r="T234" s="164"/>
      <c r="X234" s="162"/>
      <c r="Y234" s="168"/>
      <c r="AQ234" s="166"/>
    </row>
    <row r="235">
      <c r="D235" s="162"/>
      <c r="E235" s="163"/>
      <c r="G235" s="164"/>
      <c r="L235" s="165"/>
      <c r="M235" s="166"/>
      <c r="N235" s="166"/>
      <c r="P235" s="167"/>
      <c r="T235" s="164"/>
      <c r="X235" s="162"/>
      <c r="Y235" s="168"/>
      <c r="AQ235" s="166"/>
    </row>
    <row r="236">
      <c r="D236" s="162"/>
      <c r="E236" s="163"/>
      <c r="G236" s="164"/>
      <c r="L236" s="165"/>
      <c r="M236" s="166"/>
      <c r="N236" s="166"/>
      <c r="P236" s="167"/>
      <c r="T236" s="164"/>
      <c r="X236" s="162"/>
      <c r="Y236" s="168"/>
      <c r="AQ236" s="166"/>
    </row>
    <row r="237">
      <c r="D237" s="162"/>
      <c r="E237" s="163"/>
      <c r="G237" s="164"/>
      <c r="L237" s="165"/>
      <c r="M237" s="166"/>
      <c r="N237" s="166"/>
      <c r="P237" s="167"/>
      <c r="T237" s="164"/>
      <c r="X237" s="162"/>
      <c r="Y237" s="168"/>
      <c r="AQ237" s="166"/>
    </row>
    <row r="238">
      <c r="D238" s="162"/>
      <c r="E238" s="163"/>
      <c r="G238" s="164"/>
      <c r="L238" s="165"/>
      <c r="M238" s="166"/>
      <c r="N238" s="166"/>
      <c r="P238" s="167"/>
      <c r="T238" s="164"/>
      <c r="X238" s="162"/>
      <c r="Y238" s="168"/>
      <c r="AQ238" s="166"/>
    </row>
    <row r="239">
      <c r="D239" s="162"/>
      <c r="E239" s="163"/>
      <c r="G239" s="164"/>
      <c r="L239" s="165"/>
      <c r="M239" s="166"/>
      <c r="N239" s="166"/>
      <c r="P239" s="167"/>
      <c r="T239" s="164"/>
      <c r="X239" s="162"/>
      <c r="Y239" s="168"/>
      <c r="AQ239" s="166"/>
    </row>
    <row r="240">
      <c r="D240" s="162"/>
      <c r="E240" s="163"/>
      <c r="G240" s="164"/>
      <c r="L240" s="165"/>
      <c r="M240" s="166"/>
      <c r="N240" s="166"/>
      <c r="P240" s="167"/>
      <c r="T240" s="164"/>
      <c r="X240" s="162"/>
      <c r="Y240" s="168"/>
      <c r="AQ240" s="166"/>
    </row>
    <row r="241">
      <c r="D241" s="162"/>
      <c r="E241" s="163"/>
      <c r="G241" s="164"/>
      <c r="L241" s="165"/>
      <c r="M241" s="166"/>
      <c r="N241" s="166"/>
      <c r="P241" s="167"/>
      <c r="T241" s="164"/>
      <c r="X241" s="162"/>
      <c r="Y241" s="168"/>
      <c r="AQ241" s="166"/>
    </row>
    <row r="242">
      <c r="D242" s="162"/>
      <c r="E242" s="163"/>
      <c r="G242" s="164"/>
      <c r="L242" s="165"/>
      <c r="M242" s="166"/>
      <c r="N242" s="166"/>
      <c r="P242" s="167"/>
      <c r="T242" s="164"/>
      <c r="X242" s="162"/>
      <c r="Y242" s="168"/>
      <c r="AQ242" s="166"/>
    </row>
    <row r="243">
      <c r="D243" s="162"/>
      <c r="E243" s="163"/>
      <c r="G243" s="164"/>
      <c r="L243" s="165"/>
      <c r="M243" s="166"/>
      <c r="N243" s="166"/>
      <c r="P243" s="167"/>
      <c r="T243" s="164"/>
      <c r="X243" s="162"/>
      <c r="Y243" s="168"/>
      <c r="AQ243" s="166"/>
    </row>
    <row r="244">
      <c r="D244" s="162"/>
      <c r="E244" s="163"/>
      <c r="G244" s="164"/>
      <c r="L244" s="165"/>
      <c r="M244" s="166"/>
      <c r="N244" s="166"/>
      <c r="P244" s="167"/>
      <c r="T244" s="164"/>
      <c r="X244" s="162"/>
      <c r="Y244" s="168"/>
      <c r="AQ244" s="166"/>
    </row>
    <row r="245">
      <c r="D245" s="162"/>
      <c r="E245" s="163"/>
      <c r="G245" s="164"/>
      <c r="L245" s="165"/>
      <c r="M245" s="166"/>
      <c r="N245" s="166"/>
      <c r="P245" s="167"/>
      <c r="T245" s="164"/>
      <c r="X245" s="162"/>
      <c r="Y245" s="168"/>
      <c r="AQ245" s="166"/>
    </row>
    <row r="246">
      <c r="D246" s="162"/>
      <c r="E246" s="163"/>
      <c r="G246" s="164"/>
      <c r="L246" s="165"/>
      <c r="M246" s="166"/>
      <c r="N246" s="166"/>
      <c r="P246" s="167"/>
      <c r="T246" s="164"/>
      <c r="X246" s="162"/>
      <c r="Y246" s="168"/>
      <c r="AQ246" s="166"/>
    </row>
    <row r="247">
      <c r="D247" s="162"/>
      <c r="E247" s="163"/>
      <c r="G247" s="164"/>
      <c r="L247" s="165"/>
      <c r="M247" s="166"/>
      <c r="N247" s="166"/>
      <c r="P247" s="167"/>
      <c r="T247" s="164"/>
      <c r="X247" s="162"/>
      <c r="Y247" s="168"/>
      <c r="AQ247" s="166"/>
    </row>
    <row r="248">
      <c r="D248" s="162"/>
      <c r="E248" s="163"/>
      <c r="G248" s="164"/>
      <c r="L248" s="165"/>
      <c r="M248" s="166"/>
      <c r="N248" s="166"/>
      <c r="P248" s="167"/>
      <c r="T248" s="164"/>
      <c r="X248" s="162"/>
      <c r="Y248" s="168"/>
      <c r="AQ248" s="166"/>
    </row>
    <row r="249">
      <c r="D249" s="162"/>
      <c r="E249" s="163"/>
      <c r="G249" s="164"/>
      <c r="L249" s="165"/>
      <c r="M249" s="166"/>
      <c r="N249" s="166"/>
      <c r="P249" s="167"/>
      <c r="T249" s="164"/>
      <c r="X249" s="162"/>
      <c r="Y249" s="168"/>
      <c r="AQ249" s="166"/>
    </row>
    <row r="250">
      <c r="D250" s="162"/>
      <c r="E250" s="163"/>
      <c r="G250" s="164"/>
      <c r="L250" s="165"/>
      <c r="M250" s="166"/>
      <c r="N250" s="166"/>
      <c r="P250" s="167"/>
      <c r="T250" s="164"/>
      <c r="X250" s="162"/>
      <c r="Y250" s="168"/>
      <c r="AQ250" s="166"/>
    </row>
    <row r="251">
      <c r="D251" s="162"/>
      <c r="E251" s="163"/>
      <c r="G251" s="164"/>
      <c r="L251" s="165"/>
      <c r="M251" s="166"/>
      <c r="N251" s="166"/>
      <c r="P251" s="167"/>
      <c r="T251" s="164"/>
      <c r="X251" s="162"/>
      <c r="Y251" s="168"/>
      <c r="AQ251" s="166"/>
    </row>
    <row r="252">
      <c r="D252" s="162"/>
      <c r="E252" s="163"/>
      <c r="G252" s="164"/>
      <c r="L252" s="165"/>
      <c r="M252" s="166"/>
      <c r="N252" s="166"/>
      <c r="P252" s="167"/>
      <c r="T252" s="164"/>
      <c r="X252" s="162"/>
      <c r="Y252" s="168"/>
      <c r="AQ252" s="166"/>
    </row>
    <row r="253">
      <c r="D253" s="162"/>
      <c r="E253" s="163"/>
      <c r="G253" s="164"/>
      <c r="L253" s="165"/>
      <c r="M253" s="166"/>
      <c r="N253" s="166"/>
      <c r="P253" s="167"/>
      <c r="T253" s="164"/>
      <c r="X253" s="162"/>
      <c r="Y253" s="168"/>
      <c r="AQ253" s="166"/>
    </row>
    <row r="254">
      <c r="D254" s="162"/>
      <c r="E254" s="163"/>
      <c r="G254" s="164"/>
      <c r="L254" s="165"/>
      <c r="M254" s="166"/>
      <c r="N254" s="166"/>
      <c r="P254" s="167"/>
      <c r="T254" s="164"/>
      <c r="X254" s="162"/>
      <c r="Y254" s="168"/>
      <c r="AQ254" s="166"/>
    </row>
    <row r="255">
      <c r="D255" s="162"/>
      <c r="E255" s="163"/>
      <c r="G255" s="164"/>
      <c r="L255" s="165"/>
      <c r="M255" s="166"/>
      <c r="N255" s="166"/>
      <c r="P255" s="167"/>
      <c r="T255" s="164"/>
      <c r="X255" s="162"/>
      <c r="Y255" s="168"/>
      <c r="AQ255" s="166"/>
    </row>
    <row r="256">
      <c r="D256" s="162"/>
      <c r="E256" s="163"/>
      <c r="G256" s="164"/>
      <c r="L256" s="165"/>
      <c r="M256" s="166"/>
      <c r="N256" s="166"/>
      <c r="P256" s="167"/>
      <c r="T256" s="164"/>
      <c r="X256" s="162"/>
      <c r="Y256" s="168"/>
      <c r="AQ256" s="166"/>
    </row>
    <row r="257">
      <c r="D257" s="162"/>
      <c r="E257" s="163"/>
      <c r="G257" s="164"/>
      <c r="L257" s="165"/>
      <c r="M257" s="166"/>
      <c r="N257" s="166"/>
      <c r="P257" s="167"/>
      <c r="T257" s="164"/>
      <c r="X257" s="162"/>
      <c r="Y257" s="168"/>
      <c r="AQ257" s="166"/>
    </row>
    <row r="258">
      <c r="D258" s="162"/>
      <c r="E258" s="163"/>
      <c r="G258" s="164"/>
      <c r="L258" s="165"/>
      <c r="M258" s="166"/>
      <c r="N258" s="166"/>
      <c r="P258" s="167"/>
      <c r="T258" s="164"/>
      <c r="X258" s="162"/>
      <c r="Y258" s="168"/>
      <c r="AQ258" s="166"/>
    </row>
    <row r="259">
      <c r="D259" s="162"/>
      <c r="E259" s="163"/>
      <c r="G259" s="164"/>
      <c r="L259" s="165"/>
      <c r="M259" s="166"/>
      <c r="N259" s="166"/>
      <c r="P259" s="167"/>
      <c r="T259" s="164"/>
      <c r="X259" s="162"/>
      <c r="Y259" s="168"/>
      <c r="AQ259" s="166"/>
    </row>
    <row r="260">
      <c r="D260" s="162"/>
      <c r="E260" s="163"/>
      <c r="G260" s="164"/>
      <c r="L260" s="165"/>
      <c r="M260" s="166"/>
      <c r="N260" s="166"/>
      <c r="P260" s="167"/>
      <c r="T260" s="164"/>
      <c r="X260" s="162"/>
      <c r="Y260" s="168"/>
      <c r="AQ260" s="166"/>
    </row>
    <row r="261">
      <c r="D261" s="162"/>
      <c r="E261" s="163"/>
      <c r="G261" s="164"/>
      <c r="L261" s="165"/>
      <c r="M261" s="166"/>
      <c r="N261" s="166"/>
      <c r="P261" s="167"/>
      <c r="T261" s="164"/>
      <c r="X261" s="162"/>
      <c r="Y261" s="168"/>
      <c r="AQ261" s="166"/>
    </row>
    <row r="262">
      <c r="D262" s="162"/>
      <c r="E262" s="163"/>
      <c r="G262" s="164"/>
      <c r="L262" s="165"/>
      <c r="M262" s="166"/>
      <c r="N262" s="166"/>
      <c r="P262" s="167"/>
      <c r="T262" s="164"/>
      <c r="X262" s="162"/>
      <c r="Y262" s="168"/>
      <c r="AQ262" s="166"/>
    </row>
    <row r="263">
      <c r="D263" s="162"/>
      <c r="E263" s="163"/>
      <c r="G263" s="164"/>
      <c r="L263" s="165"/>
      <c r="M263" s="166"/>
      <c r="N263" s="166"/>
      <c r="P263" s="167"/>
      <c r="T263" s="164"/>
      <c r="X263" s="162"/>
      <c r="Y263" s="168"/>
      <c r="AQ263" s="166"/>
    </row>
    <row r="264">
      <c r="D264" s="162"/>
      <c r="E264" s="163"/>
      <c r="G264" s="164"/>
      <c r="L264" s="165"/>
      <c r="M264" s="166"/>
      <c r="N264" s="166"/>
      <c r="P264" s="167"/>
      <c r="T264" s="164"/>
      <c r="X264" s="162"/>
      <c r="Y264" s="168"/>
      <c r="AQ264" s="166"/>
    </row>
    <row r="265">
      <c r="D265" s="162"/>
      <c r="E265" s="163"/>
      <c r="G265" s="164"/>
      <c r="L265" s="165"/>
      <c r="M265" s="166"/>
      <c r="N265" s="166"/>
      <c r="P265" s="167"/>
      <c r="T265" s="164"/>
      <c r="X265" s="162"/>
      <c r="Y265" s="168"/>
      <c r="AQ265" s="166"/>
    </row>
    <row r="266">
      <c r="D266" s="162"/>
      <c r="E266" s="163"/>
      <c r="G266" s="164"/>
      <c r="L266" s="165"/>
      <c r="M266" s="166"/>
      <c r="N266" s="166"/>
      <c r="P266" s="167"/>
      <c r="T266" s="164"/>
      <c r="X266" s="162"/>
      <c r="Y266" s="168"/>
      <c r="AQ266" s="166"/>
    </row>
    <row r="267">
      <c r="D267" s="162"/>
      <c r="E267" s="163"/>
      <c r="G267" s="164"/>
      <c r="L267" s="165"/>
      <c r="M267" s="166"/>
      <c r="N267" s="166"/>
      <c r="P267" s="167"/>
      <c r="T267" s="164"/>
      <c r="X267" s="162"/>
      <c r="Y267" s="168"/>
      <c r="AQ267" s="166"/>
    </row>
    <row r="268">
      <c r="D268" s="162"/>
      <c r="E268" s="163"/>
      <c r="G268" s="164"/>
      <c r="L268" s="165"/>
      <c r="M268" s="166"/>
      <c r="N268" s="166"/>
      <c r="P268" s="167"/>
      <c r="T268" s="164"/>
      <c r="X268" s="162"/>
      <c r="Y268" s="168"/>
      <c r="AQ268" s="166"/>
    </row>
    <row r="269">
      <c r="D269" s="162"/>
      <c r="E269" s="163"/>
      <c r="G269" s="164"/>
      <c r="L269" s="165"/>
      <c r="M269" s="166"/>
      <c r="N269" s="166"/>
      <c r="P269" s="167"/>
      <c r="T269" s="164"/>
      <c r="X269" s="162"/>
      <c r="Y269" s="168"/>
      <c r="AQ269" s="166"/>
    </row>
    <row r="270">
      <c r="D270" s="162"/>
      <c r="E270" s="163"/>
      <c r="G270" s="164"/>
      <c r="L270" s="165"/>
      <c r="M270" s="166"/>
      <c r="N270" s="166"/>
      <c r="P270" s="167"/>
      <c r="T270" s="164"/>
      <c r="X270" s="162"/>
      <c r="Y270" s="168"/>
      <c r="AQ270" s="166"/>
    </row>
    <row r="271">
      <c r="D271" s="162"/>
      <c r="E271" s="163"/>
      <c r="G271" s="164"/>
      <c r="L271" s="165"/>
      <c r="M271" s="166"/>
      <c r="N271" s="166"/>
      <c r="P271" s="167"/>
      <c r="T271" s="164"/>
      <c r="X271" s="162"/>
      <c r="Y271" s="168"/>
      <c r="AQ271" s="166"/>
    </row>
    <row r="272">
      <c r="D272" s="162"/>
      <c r="E272" s="163"/>
      <c r="G272" s="164"/>
      <c r="L272" s="165"/>
      <c r="M272" s="166"/>
      <c r="N272" s="166"/>
      <c r="P272" s="167"/>
      <c r="T272" s="164"/>
      <c r="X272" s="162"/>
      <c r="Y272" s="168"/>
      <c r="AQ272" s="166"/>
    </row>
    <row r="273">
      <c r="D273" s="162"/>
      <c r="E273" s="163"/>
      <c r="G273" s="164"/>
      <c r="L273" s="165"/>
      <c r="M273" s="166"/>
      <c r="N273" s="166"/>
      <c r="P273" s="167"/>
      <c r="T273" s="164"/>
      <c r="X273" s="162"/>
      <c r="Y273" s="168"/>
      <c r="AQ273" s="166"/>
    </row>
    <row r="274">
      <c r="D274" s="162"/>
      <c r="E274" s="163"/>
      <c r="G274" s="164"/>
      <c r="L274" s="165"/>
      <c r="M274" s="166"/>
      <c r="N274" s="166"/>
      <c r="P274" s="167"/>
      <c r="T274" s="164"/>
      <c r="X274" s="162"/>
      <c r="Y274" s="168"/>
      <c r="AQ274" s="166"/>
    </row>
    <row r="275">
      <c r="D275" s="162"/>
      <c r="E275" s="163"/>
      <c r="G275" s="164"/>
      <c r="L275" s="165"/>
      <c r="M275" s="166"/>
      <c r="N275" s="166"/>
      <c r="P275" s="167"/>
      <c r="T275" s="164"/>
      <c r="X275" s="162"/>
      <c r="Y275" s="168"/>
      <c r="AQ275" s="166"/>
    </row>
    <row r="276">
      <c r="D276" s="162"/>
      <c r="E276" s="163"/>
      <c r="G276" s="164"/>
      <c r="L276" s="165"/>
      <c r="M276" s="166"/>
      <c r="N276" s="166"/>
      <c r="P276" s="167"/>
      <c r="T276" s="164"/>
      <c r="X276" s="162"/>
      <c r="Y276" s="168"/>
      <c r="AQ276" s="166"/>
    </row>
    <row r="277">
      <c r="D277" s="162"/>
      <c r="E277" s="163"/>
      <c r="G277" s="164"/>
      <c r="L277" s="165"/>
      <c r="M277" s="166"/>
      <c r="N277" s="166"/>
      <c r="P277" s="167"/>
      <c r="T277" s="164"/>
      <c r="X277" s="162"/>
      <c r="Y277" s="168"/>
      <c r="AQ277" s="166"/>
    </row>
    <row r="278">
      <c r="D278" s="162"/>
      <c r="E278" s="163"/>
      <c r="G278" s="164"/>
      <c r="L278" s="165"/>
      <c r="M278" s="166"/>
      <c r="N278" s="166"/>
      <c r="P278" s="167"/>
      <c r="T278" s="164"/>
      <c r="X278" s="162"/>
      <c r="Y278" s="168"/>
      <c r="AQ278" s="166"/>
    </row>
    <row r="279">
      <c r="D279" s="162"/>
      <c r="E279" s="163"/>
      <c r="G279" s="164"/>
      <c r="L279" s="165"/>
      <c r="M279" s="166"/>
      <c r="N279" s="166"/>
      <c r="P279" s="167"/>
      <c r="T279" s="164"/>
      <c r="X279" s="162"/>
      <c r="Y279" s="168"/>
      <c r="AQ279" s="166"/>
    </row>
    <row r="280">
      <c r="D280" s="162"/>
      <c r="E280" s="163"/>
      <c r="G280" s="164"/>
      <c r="L280" s="165"/>
      <c r="M280" s="166"/>
      <c r="N280" s="166"/>
      <c r="P280" s="167"/>
      <c r="T280" s="164"/>
      <c r="X280" s="162"/>
      <c r="Y280" s="168"/>
      <c r="AQ280" s="166"/>
    </row>
    <row r="281">
      <c r="D281" s="162"/>
      <c r="E281" s="163"/>
      <c r="G281" s="164"/>
      <c r="L281" s="165"/>
      <c r="M281" s="166"/>
      <c r="N281" s="166"/>
      <c r="P281" s="167"/>
      <c r="T281" s="164"/>
      <c r="X281" s="162"/>
      <c r="Y281" s="168"/>
      <c r="AQ281" s="166"/>
    </row>
    <row r="282">
      <c r="D282" s="162"/>
      <c r="E282" s="163"/>
      <c r="G282" s="164"/>
      <c r="L282" s="165"/>
      <c r="M282" s="166"/>
      <c r="N282" s="166"/>
      <c r="P282" s="167"/>
      <c r="T282" s="164"/>
      <c r="X282" s="162"/>
      <c r="Y282" s="168"/>
      <c r="AQ282" s="166"/>
    </row>
    <row r="283">
      <c r="D283" s="162"/>
      <c r="E283" s="163"/>
      <c r="G283" s="164"/>
      <c r="L283" s="165"/>
      <c r="M283" s="166"/>
      <c r="N283" s="166"/>
      <c r="P283" s="167"/>
      <c r="T283" s="164"/>
      <c r="X283" s="162"/>
      <c r="Y283" s="168"/>
      <c r="AQ283" s="166"/>
    </row>
    <row r="284">
      <c r="D284" s="162"/>
      <c r="E284" s="163"/>
      <c r="G284" s="164"/>
      <c r="L284" s="165"/>
      <c r="M284" s="166"/>
      <c r="N284" s="166"/>
      <c r="P284" s="167"/>
      <c r="T284" s="164"/>
      <c r="X284" s="162"/>
      <c r="Y284" s="168"/>
      <c r="AQ284" s="166"/>
    </row>
    <row r="285">
      <c r="D285" s="162"/>
      <c r="E285" s="163"/>
      <c r="G285" s="164"/>
      <c r="L285" s="165"/>
      <c r="M285" s="166"/>
      <c r="N285" s="166"/>
      <c r="P285" s="167"/>
      <c r="T285" s="164"/>
      <c r="X285" s="162"/>
      <c r="Y285" s="168"/>
      <c r="AQ285" s="166"/>
    </row>
    <row r="286">
      <c r="D286" s="162"/>
      <c r="E286" s="163"/>
      <c r="G286" s="164"/>
      <c r="L286" s="165"/>
      <c r="M286" s="166"/>
      <c r="N286" s="166"/>
      <c r="P286" s="167"/>
      <c r="T286" s="164"/>
      <c r="X286" s="162"/>
      <c r="Y286" s="168"/>
      <c r="AQ286" s="166"/>
    </row>
    <row r="287">
      <c r="D287" s="162"/>
      <c r="E287" s="163"/>
      <c r="G287" s="164"/>
      <c r="L287" s="165"/>
      <c r="M287" s="166"/>
      <c r="N287" s="166"/>
      <c r="P287" s="167"/>
      <c r="T287" s="164"/>
      <c r="X287" s="162"/>
      <c r="Y287" s="168"/>
      <c r="AQ287" s="166"/>
    </row>
    <row r="288">
      <c r="D288" s="162"/>
      <c r="E288" s="163"/>
      <c r="G288" s="164"/>
      <c r="L288" s="165"/>
      <c r="M288" s="166"/>
      <c r="N288" s="166"/>
      <c r="P288" s="167"/>
      <c r="T288" s="164"/>
      <c r="X288" s="162"/>
      <c r="Y288" s="168"/>
      <c r="AQ288" s="166"/>
    </row>
    <row r="289">
      <c r="D289" s="162"/>
      <c r="E289" s="163"/>
      <c r="G289" s="164"/>
      <c r="L289" s="165"/>
      <c r="M289" s="166"/>
      <c r="N289" s="166"/>
      <c r="P289" s="167"/>
      <c r="T289" s="164"/>
      <c r="X289" s="162"/>
      <c r="Y289" s="168"/>
      <c r="AQ289" s="166"/>
    </row>
    <row r="290">
      <c r="D290" s="162"/>
      <c r="E290" s="163"/>
      <c r="G290" s="164"/>
      <c r="L290" s="165"/>
      <c r="M290" s="166"/>
      <c r="N290" s="166"/>
      <c r="P290" s="167"/>
      <c r="T290" s="164"/>
      <c r="X290" s="162"/>
      <c r="Y290" s="168"/>
      <c r="AQ290" s="166"/>
    </row>
    <row r="291">
      <c r="D291" s="162"/>
      <c r="E291" s="163"/>
      <c r="G291" s="164"/>
      <c r="L291" s="165"/>
      <c r="M291" s="166"/>
      <c r="N291" s="166"/>
      <c r="P291" s="167"/>
      <c r="T291" s="164"/>
      <c r="X291" s="162"/>
      <c r="Y291" s="168"/>
      <c r="AQ291" s="166"/>
    </row>
    <row r="292">
      <c r="D292" s="162"/>
      <c r="E292" s="163"/>
      <c r="G292" s="164"/>
      <c r="L292" s="165"/>
      <c r="M292" s="166"/>
      <c r="N292" s="166"/>
      <c r="P292" s="167"/>
      <c r="T292" s="164"/>
      <c r="X292" s="162"/>
      <c r="Y292" s="168"/>
      <c r="AQ292" s="166"/>
    </row>
    <row r="293">
      <c r="D293" s="162"/>
      <c r="E293" s="163"/>
      <c r="G293" s="164"/>
      <c r="L293" s="165"/>
      <c r="M293" s="166"/>
      <c r="N293" s="166"/>
      <c r="P293" s="167"/>
      <c r="T293" s="164"/>
      <c r="X293" s="162"/>
      <c r="Y293" s="168"/>
      <c r="AQ293" s="166"/>
    </row>
    <row r="294">
      <c r="D294" s="162"/>
      <c r="E294" s="163"/>
      <c r="G294" s="164"/>
      <c r="L294" s="165"/>
      <c r="M294" s="166"/>
      <c r="N294" s="166"/>
      <c r="P294" s="167"/>
      <c r="T294" s="164"/>
      <c r="X294" s="162"/>
      <c r="Y294" s="168"/>
      <c r="AQ294" s="166"/>
    </row>
    <row r="295">
      <c r="D295" s="162"/>
      <c r="E295" s="163"/>
      <c r="G295" s="164"/>
      <c r="L295" s="165"/>
      <c r="M295" s="166"/>
      <c r="N295" s="166"/>
      <c r="P295" s="167"/>
      <c r="T295" s="164"/>
      <c r="X295" s="162"/>
      <c r="Y295" s="168"/>
      <c r="AQ295" s="166"/>
    </row>
    <row r="296">
      <c r="D296" s="162"/>
      <c r="E296" s="163"/>
      <c r="G296" s="164"/>
      <c r="L296" s="165"/>
      <c r="M296" s="166"/>
      <c r="N296" s="166"/>
      <c r="P296" s="167"/>
      <c r="T296" s="164"/>
      <c r="X296" s="162"/>
      <c r="Y296" s="168"/>
      <c r="AQ296" s="166"/>
    </row>
    <row r="297">
      <c r="D297" s="162"/>
      <c r="E297" s="163"/>
      <c r="G297" s="164"/>
      <c r="L297" s="165"/>
      <c r="M297" s="166"/>
      <c r="N297" s="166"/>
      <c r="P297" s="167"/>
      <c r="T297" s="164"/>
      <c r="X297" s="162"/>
      <c r="Y297" s="168"/>
      <c r="AQ297" s="166"/>
    </row>
    <row r="298">
      <c r="D298" s="162"/>
      <c r="E298" s="163"/>
      <c r="G298" s="164"/>
      <c r="L298" s="165"/>
      <c r="M298" s="166"/>
      <c r="N298" s="166"/>
      <c r="P298" s="167"/>
      <c r="T298" s="164"/>
      <c r="X298" s="162"/>
      <c r="Y298" s="168"/>
      <c r="AQ298" s="166"/>
    </row>
    <row r="299">
      <c r="D299" s="162"/>
      <c r="E299" s="163"/>
      <c r="G299" s="164"/>
      <c r="L299" s="165"/>
      <c r="M299" s="166"/>
      <c r="N299" s="166"/>
      <c r="P299" s="167"/>
      <c r="T299" s="164"/>
      <c r="X299" s="162"/>
      <c r="Y299" s="168"/>
      <c r="AQ299" s="166"/>
    </row>
    <row r="300">
      <c r="D300" s="162"/>
      <c r="E300" s="163"/>
      <c r="G300" s="164"/>
      <c r="L300" s="165"/>
      <c r="M300" s="166"/>
      <c r="N300" s="166"/>
      <c r="P300" s="167"/>
      <c r="T300" s="164"/>
      <c r="X300" s="162"/>
      <c r="Y300" s="168"/>
      <c r="AQ300" s="166"/>
    </row>
    <row r="301">
      <c r="D301" s="162"/>
      <c r="E301" s="163"/>
      <c r="G301" s="164"/>
      <c r="L301" s="165"/>
      <c r="M301" s="166"/>
      <c r="N301" s="166"/>
      <c r="P301" s="167"/>
      <c r="T301" s="164"/>
      <c r="X301" s="162"/>
      <c r="Y301" s="168"/>
      <c r="AQ301" s="166"/>
    </row>
    <row r="302">
      <c r="D302" s="162"/>
      <c r="E302" s="163"/>
      <c r="G302" s="164"/>
      <c r="L302" s="165"/>
      <c r="M302" s="166"/>
      <c r="N302" s="166"/>
      <c r="P302" s="167"/>
      <c r="T302" s="164"/>
      <c r="X302" s="162"/>
      <c r="Y302" s="168"/>
      <c r="AQ302" s="166"/>
    </row>
    <row r="303">
      <c r="D303" s="162"/>
      <c r="E303" s="163"/>
      <c r="G303" s="164"/>
      <c r="L303" s="165"/>
      <c r="M303" s="166"/>
      <c r="N303" s="166"/>
      <c r="P303" s="167"/>
      <c r="T303" s="164"/>
      <c r="X303" s="162"/>
      <c r="Y303" s="168"/>
      <c r="AQ303" s="166"/>
    </row>
    <row r="304">
      <c r="D304" s="162"/>
      <c r="E304" s="163"/>
      <c r="G304" s="164"/>
      <c r="L304" s="165"/>
      <c r="M304" s="166"/>
      <c r="N304" s="166"/>
      <c r="P304" s="167"/>
      <c r="T304" s="164"/>
      <c r="X304" s="162"/>
      <c r="Y304" s="168"/>
      <c r="AQ304" s="166"/>
    </row>
    <row r="305">
      <c r="D305" s="162"/>
      <c r="E305" s="163"/>
      <c r="G305" s="164"/>
      <c r="L305" s="165"/>
      <c r="M305" s="166"/>
      <c r="N305" s="166"/>
      <c r="P305" s="167"/>
      <c r="T305" s="164"/>
      <c r="X305" s="162"/>
      <c r="Y305" s="168"/>
      <c r="AQ305" s="166"/>
    </row>
    <row r="306">
      <c r="D306" s="162"/>
      <c r="E306" s="163"/>
      <c r="G306" s="164"/>
      <c r="L306" s="165"/>
      <c r="M306" s="166"/>
      <c r="N306" s="166"/>
      <c r="P306" s="167"/>
      <c r="T306" s="164"/>
      <c r="X306" s="162"/>
      <c r="Y306" s="168"/>
      <c r="AQ306" s="166"/>
    </row>
    <row r="307">
      <c r="D307" s="162"/>
      <c r="E307" s="163"/>
      <c r="G307" s="164"/>
      <c r="L307" s="165"/>
      <c r="M307" s="166"/>
      <c r="N307" s="166"/>
      <c r="P307" s="167"/>
      <c r="T307" s="164"/>
      <c r="X307" s="162"/>
      <c r="Y307" s="168"/>
      <c r="AQ307" s="166"/>
    </row>
    <row r="308">
      <c r="D308" s="162"/>
      <c r="E308" s="163"/>
      <c r="G308" s="164"/>
      <c r="L308" s="165"/>
      <c r="M308" s="166"/>
      <c r="N308" s="166"/>
      <c r="P308" s="167"/>
      <c r="T308" s="164"/>
      <c r="X308" s="162"/>
      <c r="Y308" s="168"/>
      <c r="AQ308" s="166"/>
    </row>
    <row r="309">
      <c r="D309" s="162"/>
      <c r="E309" s="163"/>
      <c r="G309" s="164"/>
      <c r="L309" s="165"/>
      <c r="M309" s="166"/>
      <c r="N309" s="166"/>
      <c r="P309" s="167"/>
      <c r="T309" s="164"/>
      <c r="X309" s="162"/>
      <c r="Y309" s="168"/>
      <c r="AQ309" s="166"/>
    </row>
    <row r="310">
      <c r="D310" s="162"/>
      <c r="E310" s="163"/>
      <c r="G310" s="164"/>
      <c r="L310" s="165"/>
      <c r="M310" s="166"/>
      <c r="N310" s="166"/>
      <c r="P310" s="167"/>
      <c r="T310" s="164"/>
      <c r="X310" s="162"/>
      <c r="Y310" s="168"/>
      <c r="AQ310" s="166"/>
    </row>
    <row r="311">
      <c r="D311" s="162"/>
      <c r="E311" s="163"/>
      <c r="G311" s="164"/>
      <c r="L311" s="165"/>
      <c r="M311" s="166"/>
      <c r="N311" s="166"/>
      <c r="P311" s="167"/>
      <c r="T311" s="164"/>
      <c r="X311" s="162"/>
      <c r="Y311" s="168"/>
      <c r="AQ311" s="166"/>
    </row>
    <row r="312">
      <c r="D312" s="162"/>
      <c r="E312" s="163"/>
      <c r="G312" s="164"/>
      <c r="L312" s="165"/>
      <c r="M312" s="166"/>
      <c r="N312" s="166"/>
      <c r="P312" s="167"/>
      <c r="T312" s="164"/>
      <c r="X312" s="162"/>
      <c r="Y312" s="168"/>
      <c r="AQ312" s="166"/>
    </row>
    <row r="313">
      <c r="D313" s="162"/>
      <c r="E313" s="163"/>
      <c r="G313" s="164"/>
      <c r="L313" s="165"/>
      <c r="M313" s="166"/>
      <c r="N313" s="166"/>
      <c r="P313" s="167"/>
      <c r="T313" s="164"/>
      <c r="X313" s="162"/>
      <c r="Y313" s="168"/>
      <c r="AQ313" s="166"/>
    </row>
    <row r="314">
      <c r="D314" s="162"/>
      <c r="E314" s="163"/>
      <c r="G314" s="164"/>
      <c r="L314" s="165"/>
      <c r="M314" s="166"/>
      <c r="N314" s="166"/>
      <c r="P314" s="167"/>
      <c r="T314" s="164"/>
      <c r="X314" s="162"/>
      <c r="Y314" s="168"/>
      <c r="AQ314" s="166"/>
    </row>
    <row r="315">
      <c r="D315" s="162"/>
      <c r="E315" s="163"/>
      <c r="G315" s="164"/>
      <c r="L315" s="165"/>
      <c r="M315" s="166"/>
      <c r="N315" s="166"/>
      <c r="P315" s="167"/>
      <c r="T315" s="164"/>
      <c r="X315" s="162"/>
      <c r="Y315" s="168"/>
      <c r="AQ315" s="166"/>
    </row>
    <row r="316">
      <c r="D316" s="162"/>
      <c r="E316" s="163"/>
      <c r="G316" s="164"/>
      <c r="L316" s="165"/>
      <c r="M316" s="166"/>
      <c r="N316" s="166"/>
      <c r="P316" s="167"/>
      <c r="T316" s="164"/>
      <c r="X316" s="162"/>
      <c r="Y316" s="168"/>
      <c r="AQ316" s="166"/>
    </row>
    <row r="317">
      <c r="D317" s="162"/>
      <c r="E317" s="163"/>
      <c r="G317" s="164"/>
      <c r="L317" s="165"/>
      <c r="M317" s="166"/>
      <c r="N317" s="166"/>
      <c r="P317" s="167"/>
      <c r="T317" s="164"/>
      <c r="X317" s="162"/>
      <c r="Y317" s="168"/>
      <c r="AQ317" s="166"/>
    </row>
    <row r="318">
      <c r="D318" s="162"/>
      <c r="E318" s="163"/>
      <c r="G318" s="164"/>
      <c r="L318" s="165"/>
      <c r="M318" s="166"/>
      <c r="N318" s="166"/>
      <c r="P318" s="167"/>
      <c r="T318" s="164"/>
      <c r="X318" s="162"/>
      <c r="Y318" s="168"/>
      <c r="AQ318" s="166"/>
    </row>
    <row r="319">
      <c r="D319" s="162"/>
      <c r="E319" s="163"/>
      <c r="G319" s="164"/>
      <c r="L319" s="165"/>
      <c r="M319" s="166"/>
      <c r="N319" s="166"/>
      <c r="P319" s="167"/>
      <c r="T319" s="164"/>
      <c r="X319" s="162"/>
      <c r="Y319" s="168"/>
      <c r="AQ319" s="166"/>
    </row>
    <row r="320">
      <c r="D320" s="162"/>
      <c r="E320" s="163"/>
      <c r="G320" s="164"/>
      <c r="L320" s="165"/>
      <c r="M320" s="166"/>
      <c r="N320" s="166"/>
      <c r="P320" s="167"/>
      <c r="T320" s="164"/>
      <c r="X320" s="162"/>
      <c r="Y320" s="168"/>
      <c r="AQ320" s="166"/>
    </row>
    <row r="321">
      <c r="D321" s="162"/>
      <c r="E321" s="163"/>
      <c r="G321" s="164"/>
      <c r="L321" s="165"/>
      <c r="M321" s="166"/>
      <c r="N321" s="166"/>
      <c r="P321" s="167"/>
      <c r="T321" s="164"/>
      <c r="X321" s="162"/>
      <c r="Y321" s="168"/>
      <c r="AQ321" s="166"/>
    </row>
    <row r="322">
      <c r="D322" s="162"/>
      <c r="E322" s="163"/>
      <c r="G322" s="164"/>
      <c r="L322" s="165"/>
      <c r="M322" s="166"/>
      <c r="N322" s="166"/>
      <c r="P322" s="167"/>
      <c r="T322" s="164"/>
      <c r="X322" s="162"/>
      <c r="Y322" s="168"/>
      <c r="AQ322" s="166"/>
    </row>
    <row r="323">
      <c r="D323" s="162"/>
      <c r="E323" s="163"/>
      <c r="G323" s="164"/>
      <c r="L323" s="165"/>
      <c r="M323" s="166"/>
      <c r="N323" s="166"/>
      <c r="P323" s="167"/>
      <c r="T323" s="164"/>
      <c r="X323" s="162"/>
      <c r="Y323" s="168"/>
      <c r="AQ323" s="166"/>
    </row>
    <row r="324">
      <c r="D324" s="162"/>
      <c r="E324" s="163"/>
      <c r="G324" s="164"/>
      <c r="L324" s="165"/>
      <c r="M324" s="166"/>
      <c r="N324" s="166"/>
      <c r="P324" s="167"/>
      <c r="T324" s="164"/>
      <c r="X324" s="162"/>
      <c r="Y324" s="168"/>
      <c r="AQ324" s="166"/>
    </row>
    <row r="325">
      <c r="D325" s="162"/>
      <c r="E325" s="163"/>
      <c r="G325" s="164"/>
      <c r="L325" s="165"/>
      <c r="M325" s="166"/>
      <c r="N325" s="166"/>
      <c r="P325" s="167"/>
      <c r="T325" s="164"/>
      <c r="X325" s="162"/>
      <c r="Y325" s="168"/>
      <c r="AQ325" s="166"/>
    </row>
    <row r="326">
      <c r="D326" s="162"/>
      <c r="E326" s="163"/>
      <c r="G326" s="164"/>
      <c r="L326" s="165"/>
      <c r="M326" s="166"/>
      <c r="N326" s="166"/>
      <c r="P326" s="167"/>
      <c r="T326" s="164"/>
      <c r="X326" s="162"/>
      <c r="Y326" s="168"/>
      <c r="AQ326" s="166"/>
    </row>
    <row r="327">
      <c r="D327" s="162"/>
      <c r="E327" s="163"/>
      <c r="G327" s="164"/>
      <c r="L327" s="165"/>
      <c r="M327" s="166"/>
      <c r="N327" s="166"/>
      <c r="P327" s="167"/>
      <c r="T327" s="164"/>
      <c r="X327" s="162"/>
      <c r="Y327" s="168"/>
      <c r="AQ327" s="166"/>
    </row>
    <row r="328">
      <c r="D328" s="162"/>
      <c r="E328" s="163"/>
      <c r="G328" s="164"/>
      <c r="L328" s="165"/>
      <c r="M328" s="166"/>
      <c r="N328" s="166"/>
      <c r="P328" s="167"/>
      <c r="T328" s="164"/>
      <c r="X328" s="162"/>
      <c r="Y328" s="168"/>
      <c r="AQ328" s="166"/>
    </row>
    <row r="329">
      <c r="D329" s="162"/>
      <c r="E329" s="163"/>
      <c r="G329" s="164"/>
      <c r="L329" s="165"/>
      <c r="M329" s="166"/>
      <c r="N329" s="166"/>
      <c r="P329" s="167"/>
      <c r="T329" s="164"/>
      <c r="X329" s="162"/>
      <c r="Y329" s="168"/>
      <c r="AQ329" s="166"/>
    </row>
    <row r="330">
      <c r="D330" s="162"/>
      <c r="E330" s="163"/>
      <c r="G330" s="164"/>
      <c r="L330" s="165"/>
      <c r="M330" s="166"/>
      <c r="N330" s="166"/>
      <c r="P330" s="167"/>
      <c r="T330" s="164"/>
      <c r="X330" s="162"/>
      <c r="Y330" s="168"/>
      <c r="AQ330" s="166"/>
    </row>
    <row r="331">
      <c r="D331" s="162"/>
      <c r="E331" s="163"/>
      <c r="G331" s="164"/>
      <c r="L331" s="165"/>
      <c r="M331" s="166"/>
      <c r="N331" s="166"/>
      <c r="P331" s="167"/>
      <c r="T331" s="164"/>
      <c r="X331" s="162"/>
      <c r="Y331" s="168"/>
      <c r="AQ331" s="166"/>
    </row>
    <row r="332">
      <c r="D332" s="162"/>
      <c r="E332" s="163"/>
      <c r="G332" s="164"/>
      <c r="L332" s="165"/>
      <c r="M332" s="166"/>
      <c r="N332" s="166"/>
      <c r="P332" s="167"/>
      <c r="T332" s="164"/>
      <c r="X332" s="162"/>
      <c r="Y332" s="168"/>
      <c r="AQ332" s="166"/>
    </row>
    <row r="333">
      <c r="D333" s="162"/>
      <c r="E333" s="163"/>
      <c r="G333" s="164"/>
      <c r="L333" s="165"/>
      <c r="M333" s="166"/>
      <c r="N333" s="166"/>
      <c r="P333" s="167"/>
      <c r="T333" s="164"/>
      <c r="X333" s="162"/>
      <c r="Y333" s="168"/>
      <c r="AQ333" s="166"/>
    </row>
    <row r="334">
      <c r="D334" s="162"/>
      <c r="E334" s="163"/>
      <c r="G334" s="164"/>
      <c r="L334" s="165"/>
      <c r="M334" s="166"/>
      <c r="N334" s="166"/>
      <c r="P334" s="167"/>
      <c r="T334" s="164"/>
      <c r="X334" s="162"/>
      <c r="Y334" s="168"/>
      <c r="AQ334" s="166"/>
    </row>
    <row r="335">
      <c r="D335" s="162"/>
      <c r="E335" s="163"/>
      <c r="G335" s="164"/>
      <c r="L335" s="165"/>
      <c r="M335" s="166"/>
      <c r="N335" s="166"/>
      <c r="P335" s="167"/>
      <c r="T335" s="164"/>
      <c r="X335" s="162"/>
      <c r="Y335" s="168"/>
      <c r="AQ335" s="166"/>
    </row>
    <row r="336">
      <c r="D336" s="162"/>
      <c r="E336" s="163"/>
      <c r="G336" s="164"/>
      <c r="L336" s="165"/>
      <c r="M336" s="166"/>
      <c r="N336" s="166"/>
      <c r="P336" s="167"/>
      <c r="T336" s="164"/>
      <c r="X336" s="162"/>
      <c r="Y336" s="168"/>
      <c r="AQ336" s="166"/>
    </row>
    <row r="337">
      <c r="D337" s="162"/>
      <c r="E337" s="163"/>
      <c r="G337" s="164"/>
      <c r="L337" s="165"/>
      <c r="M337" s="166"/>
      <c r="N337" s="166"/>
      <c r="P337" s="167"/>
      <c r="T337" s="164"/>
      <c r="X337" s="162"/>
      <c r="Y337" s="168"/>
      <c r="AQ337" s="166"/>
    </row>
    <row r="338">
      <c r="D338" s="162"/>
      <c r="E338" s="163"/>
      <c r="G338" s="164"/>
      <c r="L338" s="165"/>
      <c r="M338" s="166"/>
      <c r="N338" s="166"/>
      <c r="P338" s="167"/>
      <c r="T338" s="164"/>
      <c r="X338" s="162"/>
      <c r="Y338" s="168"/>
      <c r="AQ338" s="166"/>
    </row>
    <row r="339">
      <c r="D339" s="162"/>
      <c r="E339" s="163"/>
      <c r="G339" s="164"/>
      <c r="L339" s="165"/>
      <c r="M339" s="166"/>
      <c r="N339" s="166"/>
      <c r="P339" s="167"/>
      <c r="T339" s="164"/>
      <c r="X339" s="162"/>
      <c r="Y339" s="168"/>
      <c r="AQ339" s="166"/>
    </row>
    <row r="340">
      <c r="D340" s="162"/>
      <c r="E340" s="163"/>
      <c r="G340" s="164"/>
      <c r="L340" s="165"/>
      <c r="M340" s="166"/>
      <c r="N340" s="166"/>
      <c r="P340" s="167"/>
      <c r="T340" s="164"/>
      <c r="X340" s="162"/>
      <c r="Y340" s="168"/>
      <c r="AQ340" s="166"/>
    </row>
    <row r="341">
      <c r="D341" s="162"/>
      <c r="E341" s="163"/>
      <c r="G341" s="164"/>
      <c r="L341" s="165"/>
      <c r="M341" s="166"/>
      <c r="N341" s="166"/>
      <c r="P341" s="167"/>
      <c r="T341" s="164"/>
      <c r="X341" s="162"/>
      <c r="Y341" s="168"/>
      <c r="AQ341" s="166"/>
    </row>
    <row r="342">
      <c r="D342" s="162"/>
      <c r="E342" s="163"/>
      <c r="G342" s="164"/>
      <c r="L342" s="165"/>
      <c r="M342" s="166"/>
      <c r="N342" s="166"/>
      <c r="P342" s="167"/>
      <c r="T342" s="164"/>
      <c r="X342" s="162"/>
      <c r="Y342" s="168"/>
      <c r="AQ342" s="166"/>
    </row>
    <row r="343">
      <c r="D343" s="162"/>
      <c r="E343" s="163"/>
      <c r="G343" s="164"/>
      <c r="L343" s="165"/>
      <c r="M343" s="166"/>
      <c r="N343" s="166"/>
      <c r="P343" s="167"/>
      <c r="T343" s="164"/>
      <c r="X343" s="162"/>
      <c r="Y343" s="168"/>
      <c r="AQ343" s="166"/>
    </row>
    <row r="344">
      <c r="D344" s="162"/>
      <c r="E344" s="163"/>
      <c r="G344" s="164"/>
      <c r="L344" s="165"/>
      <c r="M344" s="166"/>
      <c r="N344" s="166"/>
      <c r="P344" s="167"/>
      <c r="T344" s="164"/>
      <c r="X344" s="162"/>
      <c r="Y344" s="168"/>
      <c r="AQ344" s="166"/>
    </row>
    <row r="345">
      <c r="D345" s="162"/>
      <c r="E345" s="163"/>
      <c r="G345" s="164"/>
      <c r="L345" s="165"/>
      <c r="M345" s="166"/>
      <c r="N345" s="166"/>
      <c r="P345" s="167"/>
      <c r="T345" s="164"/>
      <c r="X345" s="162"/>
      <c r="Y345" s="168"/>
      <c r="AQ345" s="166"/>
    </row>
    <row r="346">
      <c r="D346" s="162"/>
      <c r="E346" s="163"/>
      <c r="G346" s="164"/>
      <c r="L346" s="165"/>
      <c r="M346" s="166"/>
      <c r="N346" s="166"/>
      <c r="P346" s="167"/>
      <c r="T346" s="164"/>
      <c r="X346" s="162"/>
      <c r="Y346" s="168"/>
      <c r="AQ346" s="166"/>
    </row>
    <row r="347">
      <c r="D347" s="162"/>
      <c r="E347" s="163"/>
      <c r="G347" s="164"/>
      <c r="L347" s="165"/>
      <c r="M347" s="166"/>
      <c r="N347" s="166"/>
      <c r="P347" s="167"/>
      <c r="T347" s="164"/>
      <c r="X347" s="162"/>
      <c r="Y347" s="168"/>
      <c r="AQ347" s="166"/>
    </row>
    <row r="348">
      <c r="D348" s="162"/>
      <c r="E348" s="163"/>
      <c r="G348" s="164"/>
      <c r="L348" s="165"/>
      <c r="M348" s="166"/>
      <c r="N348" s="166"/>
      <c r="P348" s="167"/>
      <c r="T348" s="164"/>
      <c r="X348" s="162"/>
      <c r="Y348" s="168"/>
      <c r="AQ348" s="166"/>
    </row>
    <row r="349">
      <c r="D349" s="162"/>
      <c r="E349" s="163"/>
      <c r="G349" s="164"/>
      <c r="L349" s="165"/>
      <c r="M349" s="166"/>
      <c r="N349" s="166"/>
      <c r="P349" s="167"/>
      <c r="T349" s="164"/>
      <c r="X349" s="162"/>
      <c r="Y349" s="168"/>
      <c r="AQ349" s="166"/>
    </row>
    <row r="350">
      <c r="D350" s="162"/>
      <c r="E350" s="163"/>
      <c r="G350" s="164"/>
      <c r="L350" s="165"/>
      <c r="M350" s="166"/>
      <c r="N350" s="166"/>
      <c r="P350" s="167"/>
      <c r="T350" s="164"/>
      <c r="X350" s="162"/>
      <c r="Y350" s="168"/>
      <c r="AQ350" s="166"/>
    </row>
    <row r="351">
      <c r="D351" s="162"/>
      <c r="E351" s="163"/>
      <c r="G351" s="164"/>
      <c r="L351" s="165"/>
      <c r="M351" s="166"/>
      <c r="N351" s="166"/>
      <c r="P351" s="167"/>
      <c r="T351" s="164"/>
      <c r="X351" s="162"/>
      <c r="Y351" s="168"/>
      <c r="AQ351" s="166"/>
    </row>
    <row r="352">
      <c r="D352" s="162"/>
      <c r="E352" s="163"/>
      <c r="G352" s="164"/>
      <c r="L352" s="165"/>
      <c r="M352" s="166"/>
      <c r="N352" s="166"/>
      <c r="P352" s="167"/>
      <c r="T352" s="164"/>
      <c r="X352" s="162"/>
      <c r="Y352" s="168"/>
      <c r="AQ352" s="166"/>
    </row>
    <row r="353">
      <c r="D353" s="162"/>
      <c r="E353" s="163"/>
      <c r="G353" s="164"/>
      <c r="L353" s="165"/>
      <c r="M353" s="166"/>
      <c r="N353" s="166"/>
      <c r="P353" s="167"/>
      <c r="T353" s="164"/>
      <c r="X353" s="162"/>
      <c r="Y353" s="168"/>
      <c r="AQ353" s="166"/>
    </row>
    <row r="354">
      <c r="D354" s="162"/>
      <c r="E354" s="163"/>
      <c r="G354" s="164"/>
      <c r="L354" s="165"/>
      <c r="M354" s="166"/>
      <c r="N354" s="166"/>
      <c r="P354" s="167"/>
      <c r="T354" s="164"/>
      <c r="X354" s="162"/>
      <c r="Y354" s="168"/>
      <c r="AQ354" s="166"/>
    </row>
    <row r="355">
      <c r="D355" s="162"/>
      <c r="E355" s="163"/>
      <c r="G355" s="164"/>
      <c r="L355" s="165"/>
      <c r="M355" s="166"/>
      <c r="N355" s="166"/>
      <c r="P355" s="167"/>
      <c r="T355" s="164"/>
      <c r="X355" s="162"/>
      <c r="Y355" s="168"/>
      <c r="AQ355" s="166"/>
    </row>
    <row r="356">
      <c r="D356" s="162"/>
      <c r="E356" s="163"/>
      <c r="G356" s="164"/>
      <c r="L356" s="165"/>
      <c r="M356" s="166"/>
      <c r="N356" s="166"/>
      <c r="P356" s="167"/>
      <c r="T356" s="164"/>
      <c r="X356" s="162"/>
      <c r="Y356" s="168"/>
      <c r="AQ356" s="166"/>
    </row>
    <row r="357">
      <c r="D357" s="162"/>
      <c r="E357" s="163"/>
      <c r="G357" s="164"/>
      <c r="L357" s="165"/>
      <c r="M357" s="166"/>
      <c r="N357" s="166"/>
      <c r="P357" s="167"/>
      <c r="T357" s="164"/>
      <c r="X357" s="162"/>
      <c r="Y357" s="168"/>
      <c r="AQ357" s="166"/>
    </row>
    <row r="358">
      <c r="D358" s="162"/>
      <c r="E358" s="163"/>
      <c r="G358" s="164"/>
      <c r="L358" s="165"/>
      <c r="M358" s="166"/>
      <c r="N358" s="166"/>
      <c r="P358" s="167"/>
      <c r="T358" s="164"/>
      <c r="X358" s="162"/>
      <c r="Y358" s="168"/>
      <c r="AQ358" s="166"/>
    </row>
    <row r="359">
      <c r="D359" s="162"/>
      <c r="E359" s="163"/>
      <c r="G359" s="164"/>
      <c r="L359" s="165"/>
      <c r="M359" s="166"/>
      <c r="N359" s="166"/>
      <c r="P359" s="167"/>
      <c r="T359" s="164"/>
      <c r="X359" s="162"/>
      <c r="Y359" s="168"/>
      <c r="AQ359" s="166"/>
    </row>
    <row r="360">
      <c r="D360" s="162"/>
      <c r="E360" s="163"/>
      <c r="G360" s="164"/>
      <c r="L360" s="165"/>
      <c r="M360" s="166"/>
      <c r="N360" s="166"/>
      <c r="P360" s="167"/>
      <c r="T360" s="164"/>
      <c r="X360" s="162"/>
      <c r="Y360" s="168"/>
      <c r="AQ360" s="166"/>
    </row>
    <row r="361">
      <c r="D361" s="162"/>
      <c r="E361" s="163"/>
      <c r="G361" s="164"/>
      <c r="L361" s="165"/>
      <c r="M361" s="166"/>
      <c r="N361" s="166"/>
      <c r="P361" s="167"/>
      <c r="T361" s="164"/>
      <c r="X361" s="162"/>
      <c r="Y361" s="168"/>
      <c r="AQ361" s="166"/>
    </row>
    <row r="362">
      <c r="D362" s="162"/>
      <c r="E362" s="163"/>
      <c r="G362" s="164"/>
      <c r="L362" s="165"/>
      <c r="M362" s="166"/>
      <c r="N362" s="166"/>
      <c r="P362" s="167"/>
      <c r="T362" s="164"/>
      <c r="X362" s="162"/>
      <c r="Y362" s="168"/>
      <c r="AQ362" s="166"/>
    </row>
    <row r="363">
      <c r="D363" s="162"/>
      <c r="E363" s="163"/>
      <c r="G363" s="164"/>
      <c r="L363" s="165"/>
      <c r="M363" s="166"/>
      <c r="N363" s="166"/>
      <c r="P363" s="167"/>
      <c r="T363" s="164"/>
      <c r="X363" s="162"/>
      <c r="Y363" s="168"/>
      <c r="AQ363" s="166"/>
    </row>
    <row r="364">
      <c r="D364" s="162"/>
      <c r="E364" s="163"/>
      <c r="G364" s="164"/>
      <c r="L364" s="165"/>
      <c r="M364" s="166"/>
      <c r="N364" s="166"/>
      <c r="P364" s="167"/>
      <c r="T364" s="164"/>
      <c r="X364" s="162"/>
      <c r="Y364" s="168"/>
      <c r="AQ364" s="166"/>
    </row>
    <row r="365">
      <c r="D365" s="162"/>
      <c r="E365" s="163"/>
      <c r="G365" s="164"/>
      <c r="L365" s="165"/>
      <c r="M365" s="166"/>
      <c r="N365" s="166"/>
      <c r="P365" s="167"/>
      <c r="T365" s="164"/>
      <c r="X365" s="162"/>
      <c r="Y365" s="168"/>
      <c r="AQ365" s="166"/>
    </row>
    <row r="366">
      <c r="D366" s="162"/>
      <c r="E366" s="163"/>
      <c r="G366" s="164"/>
      <c r="L366" s="165"/>
      <c r="M366" s="166"/>
      <c r="N366" s="166"/>
      <c r="P366" s="167"/>
      <c r="T366" s="164"/>
      <c r="X366" s="162"/>
      <c r="Y366" s="168"/>
      <c r="AQ366" s="166"/>
    </row>
    <row r="367">
      <c r="D367" s="162"/>
      <c r="E367" s="163"/>
      <c r="G367" s="164"/>
      <c r="L367" s="165"/>
      <c r="M367" s="166"/>
      <c r="N367" s="166"/>
      <c r="P367" s="167"/>
      <c r="T367" s="164"/>
      <c r="X367" s="162"/>
      <c r="Y367" s="168"/>
      <c r="AQ367" s="166"/>
    </row>
    <row r="368">
      <c r="D368" s="162"/>
      <c r="E368" s="163"/>
      <c r="G368" s="164"/>
      <c r="L368" s="165"/>
      <c r="M368" s="166"/>
      <c r="N368" s="166"/>
      <c r="P368" s="167"/>
      <c r="T368" s="164"/>
      <c r="X368" s="162"/>
      <c r="Y368" s="168"/>
      <c r="AQ368" s="166"/>
    </row>
    <row r="369">
      <c r="D369" s="162"/>
      <c r="E369" s="163"/>
      <c r="G369" s="164"/>
      <c r="L369" s="165"/>
      <c r="M369" s="166"/>
      <c r="N369" s="166"/>
      <c r="P369" s="167"/>
      <c r="T369" s="164"/>
      <c r="X369" s="162"/>
      <c r="Y369" s="168"/>
      <c r="AQ369" s="166"/>
    </row>
    <row r="370">
      <c r="D370" s="162"/>
      <c r="E370" s="163"/>
      <c r="G370" s="164"/>
      <c r="L370" s="165"/>
      <c r="M370" s="166"/>
      <c r="N370" s="166"/>
      <c r="P370" s="167"/>
      <c r="T370" s="164"/>
      <c r="X370" s="162"/>
      <c r="Y370" s="168"/>
      <c r="AQ370" s="166"/>
    </row>
    <row r="371">
      <c r="D371" s="162"/>
      <c r="E371" s="163"/>
      <c r="G371" s="164"/>
      <c r="L371" s="165"/>
      <c r="M371" s="166"/>
      <c r="N371" s="166"/>
      <c r="P371" s="167"/>
      <c r="T371" s="164"/>
      <c r="X371" s="162"/>
      <c r="Y371" s="168"/>
      <c r="AQ371" s="166"/>
    </row>
    <row r="372">
      <c r="D372" s="162"/>
      <c r="E372" s="163"/>
      <c r="G372" s="164"/>
      <c r="L372" s="165"/>
      <c r="M372" s="166"/>
      <c r="N372" s="166"/>
      <c r="P372" s="167"/>
      <c r="T372" s="164"/>
      <c r="X372" s="162"/>
      <c r="Y372" s="168"/>
      <c r="AQ372" s="166"/>
    </row>
    <row r="373">
      <c r="D373" s="162"/>
      <c r="E373" s="163"/>
      <c r="G373" s="164"/>
      <c r="L373" s="165"/>
      <c r="M373" s="166"/>
      <c r="N373" s="166"/>
      <c r="P373" s="167"/>
      <c r="T373" s="164"/>
      <c r="X373" s="162"/>
      <c r="Y373" s="168"/>
      <c r="AQ373" s="166"/>
    </row>
    <row r="374">
      <c r="D374" s="162"/>
      <c r="E374" s="163"/>
      <c r="G374" s="164"/>
      <c r="L374" s="165"/>
      <c r="M374" s="166"/>
      <c r="N374" s="166"/>
      <c r="P374" s="167"/>
      <c r="T374" s="164"/>
      <c r="X374" s="162"/>
      <c r="Y374" s="168"/>
      <c r="AQ374" s="166"/>
    </row>
    <row r="375">
      <c r="D375" s="162"/>
      <c r="E375" s="163"/>
      <c r="G375" s="164"/>
      <c r="L375" s="165"/>
      <c r="M375" s="166"/>
      <c r="N375" s="166"/>
      <c r="P375" s="167"/>
      <c r="T375" s="164"/>
      <c r="X375" s="162"/>
      <c r="Y375" s="168"/>
      <c r="AQ375" s="166"/>
    </row>
    <row r="376">
      <c r="D376" s="162"/>
      <c r="E376" s="163"/>
      <c r="G376" s="164"/>
      <c r="L376" s="165"/>
      <c r="M376" s="166"/>
      <c r="N376" s="166"/>
      <c r="P376" s="167"/>
      <c r="T376" s="164"/>
      <c r="X376" s="162"/>
      <c r="Y376" s="168"/>
      <c r="AQ376" s="166"/>
    </row>
    <row r="377">
      <c r="D377" s="162"/>
      <c r="E377" s="163"/>
      <c r="G377" s="164"/>
      <c r="L377" s="165"/>
      <c r="M377" s="166"/>
      <c r="N377" s="166"/>
      <c r="P377" s="167"/>
      <c r="T377" s="164"/>
      <c r="X377" s="162"/>
      <c r="Y377" s="168"/>
      <c r="AQ377" s="166"/>
    </row>
    <row r="378">
      <c r="D378" s="162"/>
      <c r="E378" s="163"/>
      <c r="G378" s="164"/>
      <c r="L378" s="165"/>
      <c r="M378" s="166"/>
      <c r="N378" s="166"/>
      <c r="P378" s="167"/>
      <c r="T378" s="164"/>
      <c r="X378" s="162"/>
      <c r="Y378" s="168"/>
      <c r="AQ378" s="166"/>
    </row>
    <row r="379">
      <c r="D379" s="162"/>
      <c r="E379" s="163"/>
      <c r="G379" s="164"/>
      <c r="L379" s="165"/>
      <c r="M379" s="166"/>
      <c r="N379" s="166"/>
      <c r="P379" s="167"/>
      <c r="T379" s="164"/>
      <c r="X379" s="162"/>
      <c r="Y379" s="168"/>
      <c r="AQ379" s="166"/>
    </row>
    <row r="380">
      <c r="D380" s="162"/>
      <c r="E380" s="163"/>
      <c r="G380" s="164"/>
      <c r="L380" s="165"/>
      <c r="M380" s="166"/>
      <c r="N380" s="166"/>
      <c r="P380" s="167"/>
      <c r="T380" s="164"/>
      <c r="X380" s="162"/>
      <c r="Y380" s="168"/>
      <c r="AQ380" s="166"/>
    </row>
    <row r="381">
      <c r="D381" s="162"/>
      <c r="E381" s="163"/>
      <c r="G381" s="164"/>
      <c r="L381" s="165"/>
      <c r="M381" s="166"/>
      <c r="N381" s="166"/>
      <c r="P381" s="167"/>
      <c r="T381" s="164"/>
      <c r="X381" s="162"/>
      <c r="Y381" s="168"/>
      <c r="AQ381" s="166"/>
    </row>
    <row r="382">
      <c r="D382" s="162"/>
      <c r="E382" s="163"/>
      <c r="G382" s="164"/>
      <c r="L382" s="165"/>
      <c r="M382" s="166"/>
      <c r="N382" s="166"/>
      <c r="P382" s="167"/>
      <c r="T382" s="164"/>
      <c r="X382" s="162"/>
      <c r="Y382" s="168"/>
      <c r="AQ382" s="166"/>
    </row>
    <row r="383">
      <c r="D383" s="162"/>
      <c r="E383" s="163"/>
      <c r="G383" s="164"/>
      <c r="L383" s="165"/>
      <c r="M383" s="166"/>
      <c r="N383" s="166"/>
      <c r="P383" s="167"/>
      <c r="T383" s="164"/>
      <c r="X383" s="162"/>
      <c r="Y383" s="168"/>
      <c r="AQ383" s="166"/>
    </row>
    <row r="384">
      <c r="D384" s="162"/>
      <c r="E384" s="163"/>
      <c r="G384" s="164"/>
      <c r="L384" s="165"/>
      <c r="M384" s="166"/>
      <c r="N384" s="166"/>
      <c r="P384" s="167"/>
      <c r="T384" s="164"/>
      <c r="X384" s="162"/>
      <c r="Y384" s="168"/>
      <c r="AQ384" s="166"/>
    </row>
    <row r="385">
      <c r="D385" s="162"/>
      <c r="E385" s="163"/>
      <c r="G385" s="164"/>
      <c r="L385" s="165"/>
      <c r="M385" s="166"/>
      <c r="N385" s="166"/>
      <c r="P385" s="167"/>
      <c r="T385" s="164"/>
      <c r="X385" s="162"/>
      <c r="Y385" s="168"/>
      <c r="AQ385" s="166"/>
    </row>
    <row r="386">
      <c r="D386" s="162"/>
      <c r="E386" s="163"/>
      <c r="G386" s="164"/>
      <c r="L386" s="165"/>
      <c r="M386" s="166"/>
      <c r="N386" s="166"/>
      <c r="P386" s="167"/>
      <c r="T386" s="164"/>
      <c r="X386" s="162"/>
      <c r="Y386" s="168"/>
      <c r="AQ386" s="166"/>
    </row>
    <row r="387">
      <c r="D387" s="162"/>
      <c r="E387" s="163"/>
      <c r="G387" s="164"/>
      <c r="L387" s="165"/>
      <c r="M387" s="166"/>
      <c r="N387" s="166"/>
      <c r="P387" s="167"/>
      <c r="T387" s="164"/>
      <c r="X387" s="162"/>
      <c r="Y387" s="168"/>
      <c r="AQ387" s="166"/>
    </row>
    <row r="388">
      <c r="D388" s="162"/>
      <c r="E388" s="163"/>
      <c r="G388" s="164"/>
      <c r="L388" s="165"/>
      <c r="M388" s="166"/>
      <c r="N388" s="166"/>
      <c r="P388" s="167"/>
      <c r="T388" s="164"/>
      <c r="X388" s="162"/>
      <c r="Y388" s="168"/>
      <c r="AQ388" s="166"/>
    </row>
    <row r="389">
      <c r="D389" s="162"/>
      <c r="E389" s="163"/>
      <c r="G389" s="164"/>
      <c r="L389" s="165"/>
      <c r="M389" s="166"/>
      <c r="N389" s="166"/>
      <c r="P389" s="167"/>
      <c r="T389" s="164"/>
      <c r="X389" s="162"/>
      <c r="Y389" s="168"/>
      <c r="AQ389" s="166"/>
    </row>
    <row r="390">
      <c r="D390" s="162"/>
      <c r="E390" s="163"/>
      <c r="G390" s="164"/>
      <c r="L390" s="165"/>
      <c r="M390" s="166"/>
      <c r="N390" s="166"/>
      <c r="P390" s="167"/>
      <c r="T390" s="164"/>
      <c r="X390" s="162"/>
      <c r="Y390" s="168"/>
      <c r="AQ390" s="166"/>
    </row>
    <row r="391">
      <c r="D391" s="162"/>
      <c r="E391" s="163"/>
      <c r="G391" s="164"/>
      <c r="L391" s="165"/>
      <c r="M391" s="166"/>
      <c r="N391" s="166"/>
      <c r="P391" s="167"/>
      <c r="T391" s="164"/>
      <c r="X391" s="162"/>
      <c r="Y391" s="168"/>
      <c r="AQ391" s="166"/>
    </row>
    <row r="392">
      <c r="D392" s="162"/>
      <c r="E392" s="163"/>
      <c r="G392" s="164"/>
      <c r="L392" s="165"/>
      <c r="M392" s="166"/>
      <c r="N392" s="166"/>
      <c r="P392" s="167"/>
      <c r="T392" s="164"/>
      <c r="X392" s="162"/>
      <c r="Y392" s="168"/>
      <c r="AQ392" s="166"/>
    </row>
    <row r="393">
      <c r="D393" s="162"/>
      <c r="E393" s="163"/>
      <c r="G393" s="164"/>
      <c r="L393" s="165"/>
      <c r="M393" s="166"/>
      <c r="N393" s="166"/>
      <c r="P393" s="167"/>
      <c r="T393" s="164"/>
      <c r="X393" s="162"/>
      <c r="Y393" s="168"/>
      <c r="AQ393" s="166"/>
    </row>
    <row r="394">
      <c r="D394" s="162"/>
      <c r="E394" s="163"/>
      <c r="G394" s="164"/>
      <c r="L394" s="165"/>
      <c r="M394" s="166"/>
      <c r="N394" s="166"/>
      <c r="P394" s="167"/>
      <c r="T394" s="164"/>
      <c r="X394" s="162"/>
      <c r="Y394" s="168"/>
      <c r="AQ394" s="166"/>
    </row>
    <row r="395">
      <c r="D395" s="162"/>
      <c r="E395" s="163"/>
      <c r="G395" s="164"/>
      <c r="L395" s="165"/>
      <c r="M395" s="166"/>
      <c r="N395" s="166"/>
      <c r="P395" s="167"/>
      <c r="T395" s="164"/>
      <c r="X395" s="162"/>
      <c r="Y395" s="168"/>
      <c r="AQ395" s="166"/>
    </row>
    <row r="396">
      <c r="D396" s="162"/>
      <c r="E396" s="163"/>
      <c r="G396" s="164"/>
      <c r="L396" s="165"/>
      <c r="M396" s="166"/>
      <c r="N396" s="166"/>
      <c r="P396" s="167"/>
      <c r="T396" s="164"/>
      <c r="X396" s="162"/>
      <c r="Y396" s="168"/>
      <c r="AQ396" s="166"/>
    </row>
    <row r="397">
      <c r="D397" s="162"/>
      <c r="E397" s="163"/>
      <c r="G397" s="164"/>
      <c r="L397" s="165"/>
      <c r="M397" s="166"/>
      <c r="N397" s="166"/>
      <c r="P397" s="167"/>
      <c r="T397" s="164"/>
      <c r="X397" s="162"/>
      <c r="Y397" s="168"/>
      <c r="AQ397" s="166"/>
    </row>
    <row r="398">
      <c r="D398" s="162"/>
      <c r="E398" s="163"/>
      <c r="G398" s="164"/>
      <c r="L398" s="165"/>
      <c r="M398" s="166"/>
      <c r="N398" s="166"/>
      <c r="P398" s="167"/>
      <c r="T398" s="164"/>
      <c r="X398" s="162"/>
      <c r="Y398" s="168"/>
      <c r="AQ398" s="166"/>
    </row>
    <row r="399">
      <c r="D399" s="162"/>
      <c r="E399" s="163"/>
      <c r="G399" s="164"/>
      <c r="L399" s="165"/>
      <c r="M399" s="166"/>
      <c r="N399" s="166"/>
      <c r="P399" s="167"/>
      <c r="T399" s="164"/>
      <c r="X399" s="162"/>
      <c r="Y399" s="168"/>
      <c r="AQ399" s="166"/>
    </row>
    <row r="400">
      <c r="D400" s="162"/>
      <c r="E400" s="163"/>
      <c r="G400" s="164"/>
      <c r="L400" s="165"/>
      <c r="M400" s="166"/>
      <c r="N400" s="166"/>
      <c r="P400" s="167"/>
      <c r="T400" s="164"/>
      <c r="X400" s="162"/>
      <c r="Y400" s="168"/>
      <c r="AQ400" s="166"/>
    </row>
    <row r="401">
      <c r="D401" s="162"/>
      <c r="E401" s="163"/>
      <c r="G401" s="164"/>
      <c r="L401" s="165"/>
      <c r="M401" s="166"/>
      <c r="N401" s="166"/>
      <c r="P401" s="167"/>
      <c r="T401" s="164"/>
      <c r="X401" s="162"/>
      <c r="Y401" s="168"/>
      <c r="AQ401" s="166"/>
    </row>
    <row r="402">
      <c r="D402" s="162"/>
      <c r="E402" s="163"/>
      <c r="G402" s="164"/>
      <c r="L402" s="165"/>
      <c r="M402" s="166"/>
      <c r="N402" s="166"/>
      <c r="P402" s="167"/>
      <c r="T402" s="164"/>
      <c r="X402" s="162"/>
      <c r="Y402" s="168"/>
      <c r="AQ402" s="166"/>
    </row>
    <row r="403">
      <c r="D403" s="162"/>
      <c r="E403" s="163"/>
      <c r="G403" s="164"/>
      <c r="L403" s="165"/>
      <c r="M403" s="166"/>
      <c r="N403" s="166"/>
      <c r="P403" s="167"/>
      <c r="T403" s="164"/>
      <c r="X403" s="162"/>
      <c r="Y403" s="168"/>
      <c r="AQ403" s="166"/>
    </row>
    <row r="404">
      <c r="D404" s="162"/>
      <c r="E404" s="163"/>
      <c r="G404" s="164"/>
      <c r="L404" s="165"/>
      <c r="M404" s="166"/>
      <c r="N404" s="166"/>
      <c r="P404" s="167"/>
      <c r="T404" s="164"/>
      <c r="X404" s="162"/>
      <c r="Y404" s="168"/>
      <c r="AQ404" s="166"/>
    </row>
    <row r="405">
      <c r="D405" s="162"/>
      <c r="E405" s="163"/>
      <c r="G405" s="164"/>
      <c r="L405" s="165"/>
      <c r="M405" s="166"/>
      <c r="N405" s="166"/>
      <c r="P405" s="167"/>
      <c r="T405" s="164"/>
      <c r="X405" s="162"/>
      <c r="Y405" s="168"/>
      <c r="AQ405" s="166"/>
    </row>
    <row r="406">
      <c r="D406" s="162"/>
      <c r="E406" s="163"/>
      <c r="G406" s="164"/>
      <c r="L406" s="165"/>
      <c r="M406" s="166"/>
      <c r="N406" s="166"/>
      <c r="P406" s="167"/>
      <c r="T406" s="164"/>
      <c r="X406" s="162"/>
      <c r="Y406" s="168"/>
      <c r="AQ406" s="166"/>
    </row>
    <row r="407">
      <c r="D407" s="162"/>
      <c r="E407" s="163"/>
      <c r="G407" s="164"/>
      <c r="L407" s="165"/>
      <c r="M407" s="166"/>
      <c r="N407" s="166"/>
      <c r="P407" s="167"/>
      <c r="T407" s="164"/>
      <c r="X407" s="162"/>
      <c r="Y407" s="168"/>
      <c r="AQ407" s="166"/>
    </row>
    <row r="408">
      <c r="D408" s="162"/>
      <c r="E408" s="163"/>
      <c r="G408" s="164"/>
      <c r="L408" s="165"/>
      <c r="M408" s="166"/>
      <c r="N408" s="166"/>
      <c r="P408" s="167"/>
      <c r="T408" s="164"/>
      <c r="X408" s="162"/>
      <c r="Y408" s="168"/>
      <c r="AQ408" s="166"/>
    </row>
    <row r="409">
      <c r="D409" s="162"/>
      <c r="E409" s="163"/>
      <c r="G409" s="164"/>
      <c r="L409" s="165"/>
      <c r="M409" s="166"/>
      <c r="N409" s="166"/>
      <c r="P409" s="167"/>
      <c r="T409" s="164"/>
      <c r="X409" s="162"/>
      <c r="Y409" s="168"/>
      <c r="AQ409" s="166"/>
    </row>
    <row r="410">
      <c r="D410" s="162"/>
      <c r="E410" s="163"/>
      <c r="G410" s="164"/>
      <c r="L410" s="165"/>
      <c r="M410" s="166"/>
      <c r="N410" s="166"/>
      <c r="P410" s="167"/>
      <c r="T410" s="164"/>
      <c r="X410" s="162"/>
      <c r="Y410" s="168"/>
      <c r="AQ410" s="166"/>
    </row>
    <row r="411">
      <c r="D411" s="162"/>
      <c r="E411" s="163"/>
      <c r="G411" s="164"/>
      <c r="L411" s="165"/>
      <c r="M411" s="166"/>
      <c r="N411" s="166"/>
      <c r="P411" s="167"/>
      <c r="T411" s="164"/>
      <c r="X411" s="162"/>
      <c r="Y411" s="168"/>
      <c r="AQ411" s="166"/>
    </row>
    <row r="412">
      <c r="D412" s="162"/>
      <c r="E412" s="163"/>
      <c r="G412" s="164"/>
      <c r="L412" s="165"/>
      <c r="M412" s="166"/>
      <c r="N412" s="166"/>
      <c r="P412" s="167"/>
      <c r="T412" s="164"/>
      <c r="X412" s="162"/>
      <c r="Y412" s="168"/>
      <c r="AQ412" s="166"/>
    </row>
    <row r="413">
      <c r="D413" s="162"/>
      <c r="E413" s="163"/>
      <c r="G413" s="164"/>
      <c r="L413" s="165"/>
      <c r="M413" s="166"/>
      <c r="N413" s="166"/>
      <c r="P413" s="167"/>
      <c r="T413" s="164"/>
      <c r="X413" s="162"/>
      <c r="Y413" s="168"/>
      <c r="AQ413" s="166"/>
    </row>
    <row r="414">
      <c r="D414" s="162"/>
      <c r="E414" s="163"/>
      <c r="G414" s="164"/>
      <c r="L414" s="165"/>
      <c r="M414" s="166"/>
      <c r="N414" s="166"/>
      <c r="P414" s="167"/>
      <c r="T414" s="164"/>
      <c r="X414" s="162"/>
      <c r="Y414" s="168"/>
      <c r="AQ414" s="166"/>
    </row>
    <row r="415">
      <c r="D415" s="162"/>
      <c r="E415" s="163"/>
      <c r="G415" s="164"/>
      <c r="L415" s="165"/>
      <c r="M415" s="166"/>
      <c r="N415" s="166"/>
      <c r="P415" s="167"/>
      <c r="T415" s="164"/>
      <c r="X415" s="162"/>
      <c r="Y415" s="168"/>
      <c r="AQ415" s="166"/>
    </row>
    <row r="416">
      <c r="D416" s="162"/>
      <c r="E416" s="163"/>
      <c r="G416" s="164"/>
      <c r="L416" s="165"/>
      <c r="M416" s="166"/>
      <c r="N416" s="166"/>
      <c r="P416" s="167"/>
      <c r="T416" s="164"/>
      <c r="X416" s="162"/>
      <c r="Y416" s="168"/>
      <c r="AQ416" s="166"/>
    </row>
    <row r="417">
      <c r="D417" s="162"/>
      <c r="E417" s="163"/>
      <c r="G417" s="164"/>
      <c r="L417" s="165"/>
      <c r="M417" s="166"/>
      <c r="N417" s="166"/>
      <c r="P417" s="167"/>
      <c r="T417" s="164"/>
      <c r="X417" s="162"/>
      <c r="Y417" s="168"/>
      <c r="AQ417" s="166"/>
    </row>
    <row r="418">
      <c r="D418" s="162"/>
      <c r="E418" s="163"/>
      <c r="G418" s="164"/>
      <c r="L418" s="165"/>
      <c r="M418" s="166"/>
      <c r="N418" s="166"/>
      <c r="P418" s="167"/>
      <c r="T418" s="164"/>
      <c r="X418" s="162"/>
      <c r="Y418" s="168"/>
      <c r="AQ418" s="166"/>
    </row>
    <row r="419">
      <c r="D419" s="162"/>
      <c r="E419" s="163"/>
      <c r="G419" s="164"/>
      <c r="L419" s="165"/>
      <c r="M419" s="166"/>
      <c r="N419" s="166"/>
      <c r="P419" s="167"/>
      <c r="T419" s="164"/>
      <c r="X419" s="162"/>
      <c r="Y419" s="168"/>
      <c r="AQ419" s="166"/>
    </row>
    <row r="420">
      <c r="D420" s="162"/>
      <c r="E420" s="163"/>
      <c r="G420" s="164"/>
      <c r="L420" s="165"/>
      <c r="M420" s="166"/>
      <c r="N420" s="166"/>
      <c r="P420" s="167"/>
      <c r="T420" s="164"/>
      <c r="X420" s="162"/>
      <c r="Y420" s="168"/>
      <c r="AQ420" s="166"/>
    </row>
    <row r="421">
      <c r="D421" s="162"/>
      <c r="E421" s="163"/>
      <c r="G421" s="164"/>
      <c r="L421" s="165"/>
      <c r="M421" s="166"/>
      <c r="N421" s="166"/>
      <c r="P421" s="167"/>
      <c r="T421" s="164"/>
      <c r="X421" s="162"/>
      <c r="Y421" s="168"/>
      <c r="AQ421" s="166"/>
    </row>
    <row r="422">
      <c r="D422" s="162"/>
      <c r="E422" s="163"/>
      <c r="G422" s="164"/>
      <c r="L422" s="165"/>
      <c r="M422" s="166"/>
      <c r="N422" s="166"/>
      <c r="P422" s="167"/>
      <c r="T422" s="164"/>
      <c r="X422" s="162"/>
      <c r="Y422" s="168"/>
      <c r="AQ422" s="166"/>
    </row>
    <row r="423">
      <c r="D423" s="162"/>
      <c r="E423" s="163"/>
      <c r="G423" s="164"/>
      <c r="L423" s="165"/>
      <c r="M423" s="166"/>
      <c r="N423" s="166"/>
      <c r="P423" s="167"/>
      <c r="T423" s="164"/>
      <c r="X423" s="162"/>
      <c r="Y423" s="168"/>
      <c r="AQ423" s="166"/>
    </row>
    <row r="424">
      <c r="D424" s="162"/>
      <c r="E424" s="163"/>
      <c r="G424" s="164"/>
      <c r="L424" s="165"/>
      <c r="M424" s="166"/>
      <c r="N424" s="166"/>
      <c r="P424" s="167"/>
      <c r="T424" s="164"/>
      <c r="X424" s="162"/>
      <c r="Y424" s="168"/>
      <c r="AQ424" s="166"/>
    </row>
    <row r="425">
      <c r="D425" s="162"/>
      <c r="E425" s="163"/>
      <c r="G425" s="164"/>
      <c r="L425" s="165"/>
      <c r="M425" s="166"/>
      <c r="N425" s="166"/>
      <c r="P425" s="167"/>
      <c r="T425" s="164"/>
      <c r="X425" s="162"/>
      <c r="Y425" s="168"/>
      <c r="AQ425" s="166"/>
    </row>
    <row r="426">
      <c r="D426" s="162"/>
      <c r="E426" s="163"/>
      <c r="G426" s="164"/>
      <c r="L426" s="165"/>
      <c r="M426" s="166"/>
      <c r="N426" s="166"/>
      <c r="P426" s="167"/>
      <c r="T426" s="164"/>
      <c r="X426" s="162"/>
      <c r="Y426" s="168"/>
      <c r="AQ426" s="166"/>
    </row>
    <row r="427">
      <c r="D427" s="162"/>
      <c r="E427" s="163"/>
      <c r="G427" s="164"/>
      <c r="L427" s="165"/>
      <c r="M427" s="166"/>
      <c r="N427" s="166"/>
      <c r="P427" s="167"/>
      <c r="T427" s="164"/>
      <c r="X427" s="162"/>
      <c r="Y427" s="168"/>
      <c r="AQ427" s="166"/>
    </row>
    <row r="428">
      <c r="D428" s="162"/>
      <c r="E428" s="163"/>
      <c r="G428" s="164"/>
      <c r="L428" s="165"/>
      <c r="M428" s="166"/>
      <c r="N428" s="166"/>
      <c r="P428" s="167"/>
      <c r="T428" s="164"/>
      <c r="X428" s="162"/>
      <c r="Y428" s="168"/>
      <c r="AQ428" s="166"/>
    </row>
    <row r="429">
      <c r="D429" s="162"/>
      <c r="E429" s="163"/>
      <c r="G429" s="164"/>
      <c r="L429" s="165"/>
      <c r="M429" s="166"/>
      <c r="N429" s="166"/>
      <c r="P429" s="167"/>
      <c r="T429" s="164"/>
      <c r="X429" s="162"/>
      <c r="Y429" s="168"/>
      <c r="AQ429" s="166"/>
    </row>
    <row r="430">
      <c r="D430" s="162"/>
      <c r="E430" s="163"/>
      <c r="G430" s="164"/>
      <c r="L430" s="165"/>
      <c r="M430" s="166"/>
      <c r="N430" s="166"/>
      <c r="P430" s="167"/>
      <c r="T430" s="164"/>
      <c r="X430" s="162"/>
      <c r="Y430" s="168"/>
      <c r="AQ430" s="166"/>
    </row>
    <row r="431">
      <c r="D431" s="162"/>
      <c r="E431" s="163"/>
      <c r="G431" s="164"/>
      <c r="L431" s="165"/>
      <c r="M431" s="166"/>
      <c r="N431" s="166"/>
      <c r="P431" s="167"/>
      <c r="T431" s="164"/>
      <c r="X431" s="162"/>
      <c r="Y431" s="168"/>
      <c r="AQ431" s="166"/>
    </row>
    <row r="432">
      <c r="D432" s="162"/>
      <c r="E432" s="163"/>
      <c r="G432" s="164"/>
      <c r="L432" s="165"/>
      <c r="M432" s="166"/>
      <c r="N432" s="166"/>
      <c r="P432" s="167"/>
      <c r="T432" s="164"/>
      <c r="X432" s="162"/>
      <c r="Y432" s="168"/>
      <c r="AQ432" s="166"/>
    </row>
    <row r="433">
      <c r="D433" s="162"/>
      <c r="E433" s="163"/>
      <c r="G433" s="164"/>
      <c r="L433" s="165"/>
      <c r="M433" s="166"/>
      <c r="N433" s="166"/>
      <c r="P433" s="167"/>
      <c r="T433" s="164"/>
      <c r="X433" s="162"/>
      <c r="Y433" s="168"/>
      <c r="AQ433" s="166"/>
    </row>
    <row r="434">
      <c r="D434" s="162"/>
      <c r="E434" s="163"/>
      <c r="G434" s="164"/>
      <c r="L434" s="165"/>
      <c r="M434" s="166"/>
      <c r="N434" s="166"/>
      <c r="P434" s="167"/>
      <c r="T434" s="164"/>
      <c r="X434" s="162"/>
      <c r="Y434" s="168"/>
      <c r="AQ434" s="166"/>
    </row>
    <row r="435">
      <c r="D435" s="162"/>
      <c r="E435" s="163"/>
      <c r="G435" s="164"/>
      <c r="L435" s="165"/>
      <c r="M435" s="166"/>
      <c r="N435" s="166"/>
      <c r="P435" s="167"/>
      <c r="T435" s="164"/>
      <c r="X435" s="162"/>
      <c r="Y435" s="168"/>
      <c r="AQ435" s="166"/>
    </row>
    <row r="436">
      <c r="D436" s="162"/>
      <c r="E436" s="163"/>
      <c r="G436" s="164"/>
      <c r="L436" s="165"/>
      <c r="M436" s="166"/>
      <c r="N436" s="166"/>
      <c r="P436" s="167"/>
      <c r="T436" s="164"/>
      <c r="X436" s="162"/>
      <c r="Y436" s="168"/>
      <c r="AQ436" s="166"/>
    </row>
    <row r="437">
      <c r="D437" s="162"/>
      <c r="E437" s="163"/>
      <c r="G437" s="164"/>
      <c r="L437" s="165"/>
      <c r="M437" s="166"/>
      <c r="N437" s="166"/>
      <c r="P437" s="167"/>
      <c r="T437" s="164"/>
      <c r="X437" s="162"/>
      <c r="Y437" s="168"/>
      <c r="AQ437" s="166"/>
    </row>
    <row r="438">
      <c r="D438" s="162"/>
      <c r="E438" s="163"/>
      <c r="G438" s="164"/>
      <c r="L438" s="165"/>
      <c r="M438" s="166"/>
      <c r="N438" s="166"/>
      <c r="P438" s="167"/>
      <c r="T438" s="164"/>
      <c r="X438" s="162"/>
      <c r="Y438" s="168"/>
      <c r="AQ438" s="166"/>
    </row>
    <row r="439">
      <c r="D439" s="162"/>
      <c r="E439" s="163"/>
      <c r="G439" s="164"/>
      <c r="L439" s="165"/>
      <c r="M439" s="166"/>
      <c r="N439" s="166"/>
      <c r="P439" s="167"/>
      <c r="T439" s="164"/>
      <c r="X439" s="162"/>
      <c r="Y439" s="168"/>
      <c r="AQ439" s="166"/>
    </row>
    <row r="440">
      <c r="D440" s="162"/>
      <c r="E440" s="163"/>
      <c r="G440" s="164"/>
      <c r="L440" s="165"/>
      <c r="M440" s="166"/>
      <c r="N440" s="166"/>
      <c r="P440" s="167"/>
      <c r="T440" s="164"/>
      <c r="X440" s="162"/>
      <c r="Y440" s="168"/>
      <c r="AQ440" s="166"/>
    </row>
    <row r="441">
      <c r="D441" s="162"/>
      <c r="E441" s="163"/>
      <c r="G441" s="164"/>
      <c r="L441" s="165"/>
      <c r="M441" s="166"/>
      <c r="N441" s="166"/>
      <c r="P441" s="167"/>
      <c r="T441" s="164"/>
      <c r="X441" s="162"/>
      <c r="Y441" s="168"/>
      <c r="AQ441" s="166"/>
    </row>
    <row r="442">
      <c r="D442" s="162"/>
      <c r="E442" s="163"/>
      <c r="G442" s="164"/>
      <c r="L442" s="165"/>
      <c r="M442" s="166"/>
      <c r="N442" s="166"/>
      <c r="P442" s="167"/>
      <c r="T442" s="164"/>
      <c r="X442" s="162"/>
      <c r="Y442" s="168"/>
      <c r="AQ442" s="166"/>
    </row>
    <row r="443">
      <c r="D443" s="162"/>
      <c r="E443" s="163"/>
      <c r="G443" s="164"/>
      <c r="L443" s="165"/>
      <c r="M443" s="166"/>
      <c r="N443" s="166"/>
      <c r="P443" s="167"/>
      <c r="T443" s="164"/>
      <c r="X443" s="162"/>
      <c r="Y443" s="168"/>
      <c r="AQ443" s="166"/>
    </row>
    <row r="444">
      <c r="D444" s="162"/>
      <c r="E444" s="163"/>
      <c r="G444" s="164"/>
      <c r="L444" s="165"/>
      <c r="M444" s="166"/>
      <c r="N444" s="166"/>
      <c r="P444" s="167"/>
      <c r="T444" s="164"/>
      <c r="X444" s="162"/>
      <c r="Y444" s="168"/>
      <c r="AQ444" s="166"/>
    </row>
    <row r="445">
      <c r="D445" s="162"/>
      <c r="E445" s="163"/>
      <c r="G445" s="164"/>
      <c r="L445" s="165"/>
      <c r="M445" s="166"/>
      <c r="N445" s="166"/>
      <c r="P445" s="167"/>
      <c r="T445" s="164"/>
      <c r="X445" s="162"/>
      <c r="Y445" s="168"/>
      <c r="AQ445" s="166"/>
    </row>
    <row r="446">
      <c r="D446" s="162"/>
      <c r="E446" s="163"/>
      <c r="G446" s="164"/>
      <c r="L446" s="165"/>
      <c r="M446" s="166"/>
      <c r="N446" s="166"/>
      <c r="P446" s="167"/>
      <c r="T446" s="164"/>
      <c r="X446" s="162"/>
      <c r="Y446" s="168"/>
      <c r="AQ446" s="166"/>
    </row>
    <row r="447">
      <c r="D447" s="162"/>
      <c r="E447" s="163"/>
      <c r="G447" s="164"/>
      <c r="L447" s="165"/>
      <c r="M447" s="166"/>
      <c r="N447" s="166"/>
      <c r="P447" s="167"/>
      <c r="T447" s="164"/>
      <c r="X447" s="162"/>
      <c r="Y447" s="168"/>
      <c r="AQ447" s="166"/>
    </row>
    <row r="448">
      <c r="D448" s="162"/>
      <c r="E448" s="163"/>
      <c r="G448" s="164"/>
      <c r="L448" s="165"/>
      <c r="M448" s="166"/>
      <c r="N448" s="166"/>
      <c r="P448" s="167"/>
      <c r="T448" s="164"/>
      <c r="X448" s="162"/>
      <c r="Y448" s="168"/>
      <c r="AQ448" s="166"/>
    </row>
    <row r="449">
      <c r="D449" s="162"/>
      <c r="E449" s="163"/>
      <c r="G449" s="164"/>
      <c r="L449" s="165"/>
      <c r="M449" s="166"/>
      <c r="N449" s="166"/>
      <c r="P449" s="167"/>
      <c r="T449" s="164"/>
      <c r="X449" s="162"/>
      <c r="Y449" s="168"/>
      <c r="AQ449" s="166"/>
    </row>
    <row r="450">
      <c r="D450" s="162"/>
      <c r="E450" s="163"/>
      <c r="G450" s="164"/>
      <c r="L450" s="165"/>
      <c r="M450" s="166"/>
      <c r="N450" s="166"/>
      <c r="P450" s="167"/>
      <c r="T450" s="164"/>
      <c r="X450" s="162"/>
      <c r="Y450" s="168"/>
      <c r="AQ450" s="166"/>
    </row>
    <row r="451">
      <c r="D451" s="162"/>
      <c r="E451" s="163"/>
      <c r="G451" s="164"/>
      <c r="L451" s="165"/>
      <c r="M451" s="166"/>
      <c r="N451" s="166"/>
      <c r="P451" s="167"/>
      <c r="T451" s="164"/>
      <c r="X451" s="162"/>
      <c r="Y451" s="168"/>
      <c r="AQ451" s="166"/>
    </row>
    <row r="452">
      <c r="D452" s="162"/>
      <c r="E452" s="163"/>
      <c r="G452" s="164"/>
      <c r="L452" s="165"/>
      <c r="M452" s="166"/>
      <c r="N452" s="166"/>
      <c r="P452" s="167"/>
      <c r="T452" s="164"/>
      <c r="X452" s="162"/>
      <c r="Y452" s="168"/>
      <c r="AQ452" s="166"/>
    </row>
    <row r="453">
      <c r="D453" s="162"/>
      <c r="E453" s="163"/>
      <c r="G453" s="164"/>
      <c r="L453" s="165"/>
      <c r="M453" s="166"/>
      <c r="N453" s="166"/>
      <c r="P453" s="167"/>
      <c r="T453" s="164"/>
      <c r="X453" s="162"/>
      <c r="Y453" s="168"/>
      <c r="AQ453" s="166"/>
    </row>
    <row r="454">
      <c r="D454" s="162"/>
      <c r="E454" s="163"/>
      <c r="G454" s="164"/>
      <c r="L454" s="165"/>
      <c r="M454" s="166"/>
      <c r="N454" s="166"/>
      <c r="P454" s="167"/>
      <c r="T454" s="164"/>
      <c r="X454" s="162"/>
      <c r="Y454" s="168"/>
      <c r="AQ454" s="166"/>
    </row>
    <row r="455">
      <c r="D455" s="162"/>
      <c r="E455" s="163"/>
      <c r="G455" s="164"/>
      <c r="L455" s="165"/>
      <c r="M455" s="166"/>
      <c r="N455" s="166"/>
      <c r="P455" s="167"/>
      <c r="T455" s="164"/>
      <c r="X455" s="162"/>
      <c r="Y455" s="168"/>
      <c r="AQ455" s="166"/>
    </row>
    <row r="456">
      <c r="D456" s="162"/>
      <c r="E456" s="163"/>
      <c r="G456" s="164"/>
      <c r="L456" s="165"/>
      <c r="M456" s="166"/>
      <c r="N456" s="166"/>
      <c r="P456" s="167"/>
      <c r="T456" s="164"/>
      <c r="X456" s="162"/>
      <c r="Y456" s="168"/>
      <c r="AQ456" s="166"/>
    </row>
    <row r="457">
      <c r="D457" s="162"/>
      <c r="E457" s="163"/>
      <c r="G457" s="164"/>
      <c r="L457" s="165"/>
      <c r="M457" s="166"/>
      <c r="N457" s="166"/>
      <c r="P457" s="167"/>
      <c r="T457" s="164"/>
      <c r="X457" s="162"/>
      <c r="Y457" s="168"/>
      <c r="AQ457" s="166"/>
    </row>
    <row r="458">
      <c r="D458" s="162"/>
      <c r="E458" s="163"/>
      <c r="G458" s="164"/>
      <c r="L458" s="165"/>
      <c r="M458" s="166"/>
      <c r="N458" s="166"/>
      <c r="P458" s="167"/>
      <c r="T458" s="164"/>
      <c r="X458" s="162"/>
      <c r="Y458" s="168"/>
      <c r="AQ458" s="166"/>
    </row>
    <row r="459">
      <c r="D459" s="162"/>
      <c r="E459" s="163"/>
      <c r="G459" s="164"/>
      <c r="L459" s="165"/>
      <c r="M459" s="166"/>
      <c r="N459" s="166"/>
      <c r="P459" s="167"/>
      <c r="T459" s="164"/>
      <c r="X459" s="162"/>
      <c r="Y459" s="168"/>
      <c r="AQ459" s="166"/>
    </row>
    <row r="460">
      <c r="D460" s="162"/>
      <c r="E460" s="163"/>
      <c r="G460" s="164"/>
      <c r="L460" s="165"/>
      <c r="M460" s="166"/>
      <c r="N460" s="166"/>
      <c r="P460" s="167"/>
      <c r="T460" s="164"/>
      <c r="X460" s="162"/>
      <c r="Y460" s="168"/>
      <c r="AQ460" s="166"/>
    </row>
    <row r="461">
      <c r="D461" s="162"/>
      <c r="E461" s="163"/>
      <c r="G461" s="164"/>
      <c r="L461" s="165"/>
      <c r="M461" s="166"/>
      <c r="N461" s="166"/>
      <c r="P461" s="167"/>
      <c r="T461" s="164"/>
      <c r="X461" s="162"/>
      <c r="Y461" s="168"/>
      <c r="AQ461" s="166"/>
    </row>
    <row r="462">
      <c r="D462" s="162"/>
      <c r="E462" s="163"/>
      <c r="G462" s="164"/>
      <c r="L462" s="165"/>
      <c r="M462" s="166"/>
      <c r="N462" s="166"/>
      <c r="P462" s="167"/>
      <c r="T462" s="164"/>
      <c r="X462" s="162"/>
      <c r="Y462" s="168"/>
      <c r="AQ462" s="166"/>
    </row>
    <row r="463">
      <c r="D463" s="162"/>
      <c r="E463" s="163"/>
      <c r="G463" s="164"/>
      <c r="L463" s="165"/>
      <c r="M463" s="166"/>
      <c r="N463" s="166"/>
      <c r="P463" s="167"/>
      <c r="T463" s="164"/>
      <c r="X463" s="162"/>
      <c r="Y463" s="168"/>
      <c r="AQ463" s="166"/>
    </row>
    <row r="464">
      <c r="D464" s="162"/>
      <c r="E464" s="163"/>
      <c r="G464" s="164"/>
      <c r="L464" s="165"/>
      <c r="M464" s="166"/>
      <c r="N464" s="166"/>
      <c r="P464" s="167"/>
      <c r="T464" s="164"/>
      <c r="X464" s="162"/>
      <c r="Y464" s="168"/>
      <c r="AQ464" s="166"/>
    </row>
    <row r="465">
      <c r="D465" s="162"/>
      <c r="E465" s="163"/>
      <c r="G465" s="164"/>
      <c r="L465" s="165"/>
      <c r="M465" s="166"/>
      <c r="N465" s="166"/>
      <c r="P465" s="167"/>
      <c r="T465" s="164"/>
      <c r="X465" s="162"/>
      <c r="Y465" s="168"/>
      <c r="AQ465" s="166"/>
    </row>
    <row r="466">
      <c r="D466" s="162"/>
      <c r="E466" s="163"/>
      <c r="G466" s="164"/>
      <c r="L466" s="165"/>
      <c r="M466" s="166"/>
      <c r="N466" s="166"/>
      <c r="P466" s="167"/>
      <c r="T466" s="164"/>
      <c r="X466" s="162"/>
      <c r="Y466" s="168"/>
      <c r="AQ466" s="166"/>
    </row>
    <row r="467">
      <c r="D467" s="162"/>
      <c r="E467" s="163"/>
      <c r="G467" s="164"/>
      <c r="L467" s="165"/>
      <c r="M467" s="166"/>
      <c r="N467" s="166"/>
      <c r="P467" s="167"/>
      <c r="T467" s="164"/>
      <c r="X467" s="162"/>
      <c r="Y467" s="168"/>
      <c r="AQ467" s="166"/>
    </row>
    <row r="468">
      <c r="D468" s="162"/>
      <c r="E468" s="163"/>
      <c r="G468" s="164"/>
      <c r="L468" s="165"/>
      <c r="M468" s="166"/>
      <c r="N468" s="166"/>
      <c r="P468" s="167"/>
      <c r="T468" s="164"/>
      <c r="X468" s="162"/>
      <c r="Y468" s="168"/>
      <c r="AQ468" s="166"/>
    </row>
    <row r="469">
      <c r="D469" s="162"/>
      <c r="E469" s="163"/>
      <c r="G469" s="164"/>
      <c r="L469" s="165"/>
      <c r="M469" s="166"/>
      <c r="N469" s="166"/>
      <c r="P469" s="167"/>
      <c r="T469" s="164"/>
      <c r="X469" s="162"/>
      <c r="Y469" s="168"/>
      <c r="AQ469" s="166"/>
    </row>
    <row r="470">
      <c r="D470" s="162"/>
      <c r="E470" s="163"/>
      <c r="G470" s="164"/>
      <c r="L470" s="165"/>
      <c r="M470" s="166"/>
      <c r="N470" s="166"/>
      <c r="P470" s="167"/>
      <c r="T470" s="164"/>
      <c r="X470" s="162"/>
      <c r="Y470" s="168"/>
      <c r="AQ470" s="166"/>
    </row>
    <row r="471">
      <c r="D471" s="162"/>
      <c r="E471" s="163"/>
      <c r="G471" s="164"/>
      <c r="L471" s="165"/>
      <c r="M471" s="166"/>
      <c r="N471" s="166"/>
      <c r="P471" s="167"/>
      <c r="T471" s="164"/>
      <c r="X471" s="162"/>
      <c r="Y471" s="168"/>
      <c r="AQ471" s="166"/>
    </row>
    <row r="472">
      <c r="D472" s="162"/>
      <c r="E472" s="163"/>
      <c r="G472" s="164"/>
      <c r="L472" s="165"/>
      <c r="M472" s="166"/>
      <c r="N472" s="166"/>
      <c r="P472" s="167"/>
      <c r="T472" s="164"/>
      <c r="X472" s="162"/>
      <c r="Y472" s="168"/>
      <c r="AQ472" s="166"/>
    </row>
    <row r="473">
      <c r="D473" s="162"/>
      <c r="E473" s="163"/>
      <c r="G473" s="164"/>
      <c r="L473" s="165"/>
      <c r="M473" s="166"/>
      <c r="N473" s="166"/>
      <c r="P473" s="167"/>
      <c r="T473" s="164"/>
      <c r="X473" s="162"/>
      <c r="Y473" s="168"/>
      <c r="AQ473" s="166"/>
    </row>
    <row r="474">
      <c r="D474" s="162"/>
      <c r="E474" s="163"/>
      <c r="G474" s="164"/>
      <c r="L474" s="165"/>
      <c r="M474" s="166"/>
      <c r="N474" s="166"/>
      <c r="P474" s="167"/>
      <c r="T474" s="164"/>
      <c r="X474" s="162"/>
      <c r="Y474" s="168"/>
      <c r="AQ474" s="166"/>
    </row>
    <row r="475">
      <c r="D475" s="162"/>
      <c r="E475" s="163"/>
      <c r="G475" s="164"/>
      <c r="L475" s="165"/>
      <c r="M475" s="166"/>
      <c r="N475" s="166"/>
      <c r="P475" s="167"/>
      <c r="T475" s="164"/>
      <c r="X475" s="162"/>
      <c r="Y475" s="168"/>
      <c r="AQ475" s="166"/>
    </row>
    <row r="476">
      <c r="D476" s="162"/>
      <c r="E476" s="163"/>
      <c r="G476" s="164"/>
      <c r="L476" s="165"/>
      <c r="M476" s="166"/>
      <c r="N476" s="166"/>
      <c r="P476" s="167"/>
      <c r="T476" s="164"/>
      <c r="X476" s="162"/>
      <c r="Y476" s="168"/>
      <c r="AQ476" s="166"/>
    </row>
    <row r="477">
      <c r="D477" s="162"/>
      <c r="E477" s="163"/>
      <c r="G477" s="164"/>
      <c r="L477" s="165"/>
      <c r="M477" s="166"/>
      <c r="N477" s="166"/>
      <c r="P477" s="167"/>
      <c r="T477" s="164"/>
      <c r="X477" s="162"/>
      <c r="Y477" s="168"/>
      <c r="AQ477" s="166"/>
    </row>
    <row r="478">
      <c r="D478" s="162"/>
      <c r="E478" s="163"/>
      <c r="G478" s="164"/>
      <c r="L478" s="165"/>
      <c r="M478" s="166"/>
      <c r="N478" s="166"/>
      <c r="P478" s="167"/>
      <c r="T478" s="164"/>
      <c r="X478" s="162"/>
      <c r="Y478" s="168"/>
      <c r="AQ478" s="166"/>
    </row>
    <row r="479">
      <c r="D479" s="162"/>
      <c r="E479" s="163"/>
      <c r="G479" s="164"/>
      <c r="L479" s="165"/>
      <c r="M479" s="166"/>
      <c r="N479" s="166"/>
      <c r="P479" s="167"/>
      <c r="T479" s="164"/>
      <c r="X479" s="162"/>
      <c r="Y479" s="168"/>
      <c r="AQ479" s="166"/>
    </row>
    <row r="480">
      <c r="D480" s="162"/>
      <c r="E480" s="163"/>
      <c r="G480" s="164"/>
      <c r="L480" s="165"/>
      <c r="M480" s="166"/>
      <c r="N480" s="166"/>
      <c r="P480" s="167"/>
      <c r="T480" s="164"/>
      <c r="X480" s="162"/>
      <c r="Y480" s="168"/>
      <c r="AQ480" s="166"/>
    </row>
    <row r="481">
      <c r="D481" s="162"/>
      <c r="E481" s="163"/>
      <c r="G481" s="164"/>
      <c r="L481" s="165"/>
      <c r="M481" s="166"/>
      <c r="N481" s="166"/>
      <c r="P481" s="167"/>
      <c r="T481" s="164"/>
      <c r="X481" s="162"/>
      <c r="Y481" s="168"/>
      <c r="AQ481" s="166"/>
    </row>
    <row r="482">
      <c r="D482" s="162"/>
      <c r="E482" s="163"/>
      <c r="G482" s="164"/>
      <c r="L482" s="165"/>
      <c r="M482" s="166"/>
      <c r="N482" s="166"/>
      <c r="P482" s="167"/>
      <c r="T482" s="164"/>
      <c r="X482" s="162"/>
      <c r="Y482" s="168"/>
      <c r="AQ482" s="166"/>
    </row>
    <row r="483">
      <c r="D483" s="162"/>
      <c r="E483" s="163"/>
      <c r="G483" s="164"/>
      <c r="L483" s="165"/>
      <c r="M483" s="166"/>
      <c r="N483" s="166"/>
      <c r="P483" s="167"/>
      <c r="T483" s="164"/>
      <c r="X483" s="162"/>
      <c r="Y483" s="168"/>
      <c r="AQ483" s="166"/>
    </row>
    <row r="484">
      <c r="D484" s="162"/>
      <c r="E484" s="163"/>
      <c r="G484" s="164"/>
      <c r="L484" s="165"/>
      <c r="M484" s="166"/>
      <c r="N484" s="166"/>
      <c r="P484" s="167"/>
      <c r="T484" s="164"/>
      <c r="X484" s="162"/>
      <c r="Y484" s="168"/>
      <c r="AQ484" s="166"/>
    </row>
    <row r="485">
      <c r="D485" s="162"/>
      <c r="E485" s="163"/>
      <c r="G485" s="164"/>
      <c r="L485" s="165"/>
      <c r="M485" s="166"/>
      <c r="N485" s="166"/>
      <c r="P485" s="167"/>
      <c r="T485" s="164"/>
      <c r="X485" s="162"/>
      <c r="Y485" s="168"/>
      <c r="AQ485" s="166"/>
    </row>
    <row r="486">
      <c r="D486" s="162"/>
      <c r="E486" s="163"/>
      <c r="G486" s="164"/>
      <c r="L486" s="165"/>
      <c r="M486" s="166"/>
      <c r="N486" s="166"/>
      <c r="P486" s="167"/>
      <c r="T486" s="164"/>
      <c r="X486" s="162"/>
      <c r="Y486" s="168"/>
      <c r="AQ486" s="166"/>
    </row>
    <row r="487">
      <c r="D487" s="162"/>
      <c r="E487" s="163"/>
      <c r="G487" s="164"/>
      <c r="L487" s="165"/>
      <c r="M487" s="166"/>
      <c r="N487" s="166"/>
      <c r="P487" s="167"/>
      <c r="T487" s="164"/>
      <c r="X487" s="162"/>
      <c r="Y487" s="168"/>
      <c r="AQ487" s="166"/>
    </row>
    <row r="488">
      <c r="D488" s="162"/>
      <c r="E488" s="163"/>
      <c r="G488" s="164"/>
      <c r="L488" s="165"/>
      <c r="M488" s="166"/>
      <c r="N488" s="166"/>
      <c r="P488" s="167"/>
      <c r="T488" s="164"/>
      <c r="X488" s="162"/>
      <c r="Y488" s="168"/>
      <c r="AQ488" s="166"/>
    </row>
    <row r="489">
      <c r="D489" s="162"/>
      <c r="E489" s="163"/>
      <c r="G489" s="164"/>
      <c r="L489" s="165"/>
      <c r="M489" s="166"/>
      <c r="N489" s="166"/>
      <c r="P489" s="167"/>
      <c r="T489" s="164"/>
      <c r="X489" s="162"/>
      <c r="Y489" s="168"/>
      <c r="AQ489" s="166"/>
    </row>
    <row r="490">
      <c r="D490" s="162"/>
      <c r="E490" s="163"/>
      <c r="G490" s="164"/>
      <c r="L490" s="165"/>
      <c r="M490" s="166"/>
      <c r="N490" s="166"/>
      <c r="P490" s="167"/>
      <c r="T490" s="164"/>
      <c r="X490" s="162"/>
      <c r="Y490" s="168"/>
      <c r="AQ490" s="166"/>
    </row>
    <row r="491">
      <c r="D491" s="162"/>
      <c r="E491" s="163"/>
      <c r="G491" s="164"/>
      <c r="L491" s="165"/>
      <c r="M491" s="166"/>
      <c r="N491" s="166"/>
      <c r="P491" s="167"/>
      <c r="T491" s="164"/>
      <c r="X491" s="162"/>
      <c r="Y491" s="168"/>
      <c r="AQ491" s="166"/>
    </row>
    <row r="492">
      <c r="D492" s="162"/>
      <c r="E492" s="163"/>
      <c r="G492" s="164"/>
      <c r="L492" s="165"/>
      <c r="M492" s="166"/>
      <c r="N492" s="166"/>
      <c r="P492" s="167"/>
      <c r="T492" s="164"/>
      <c r="X492" s="162"/>
      <c r="Y492" s="168"/>
      <c r="AQ492" s="166"/>
    </row>
    <row r="493">
      <c r="D493" s="162"/>
      <c r="E493" s="163"/>
      <c r="G493" s="164"/>
      <c r="L493" s="165"/>
      <c r="M493" s="166"/>
      <c r="N493" s="166"/>
      <c r="P493" s="167"/>
      <c r="T493" s="164"/>
      <c r="X493" s="162"/>
      <c r="Y493" s="168"/>
      <c r="AQ493" s="166"/>
    </row>
    <row r="494">
      <c r="D494" s="162"/>
      <c r="E494" s="163"/>
      <c r="G494" s="164"/>
      <c r="L494" s="165"/>
      <c r="M494" s="166"/>
      <c r="N494" s="166"/>
      <c r="P494" s="167"/>
      <c r="T494" s="164"/>
      <c r="X494" s="162"/>
      <c r="Y494" s="168"/>
      <c r="AQ494" s="166"/>
    </row>
    <row r="495">
      <c r="D495" s="162"/>
      <c r="E495" s="163"/>
      <c r="G495" s="164"/>
      <c r="L495" s="165"/>
      <c r="M495" s="166"/>
      <c r="N495" s="166"/>
      <c r="P495" s="167"/>
      <c r="T495" s="164"/>
      <c r="X495" s="162"/>
      <c r="Y495" s="168"/>
      <c r="AQ495" s="166"/>
    </row>
    <row r="496">
      <c r="D496" s="162"/>
      <c r="E496" s="163"/>
      <c r="G496" s="164"/>
      <c r="L496" s="165"/>
      <c r="M496" s="166"/>
      <c r="N496" s="166"/>
      <c r="P496" s="167"/>
      <c r="T496" s="164"/>
      <c r="X496" s="162"/>
      <c r="Y496" s="168"/>
      <c r="AQ496" s="166"/>
    </row>
    <row r="497">
      <c r="D497" s="162"/>
      <c r="E497" s="163"/>
      <c r="G497" s="164"/>
      <c r="L497" s="165"/>
      <c r="M497" s="166"/>
      <c r="N497" s="166"/>
      <c r="P497" s="167"/>
      <c r="T497" s="164"/>
      <c r="X497" s="162"/>
      <c r="Y497" s="168"/>
      <c r="AQ497" s="166"/>
    </row>
    <row r="498">
      <c r="D498" s="162"/>
      <c r="E498" s="163"/>
      <c r="G498" s="164"/>
      <c r="L498" s="165"/>
      <c r="M498" s="166"/>
      <c r="N498" s="166"/>
      <c r="P498" s="167"/>
      <c r="T498" s="164"/>
      <c r="X498" s="162"/>
      <c r="Y498" s="168"/>
      <c r="AQ498" s="166"/>
    </row>
    <row r="499">
      <c r="D499" s="162"/>
      <c r="E499" s="163"/>
      <c r="G499" s="164"/>
      <c r="L499" s="165"/>
      <c r="M499" s="166"/>
      <c r="N499" s="166"/>
      <c r="P499" s="167"/>
      <c r="T499" s="164"/>
      <c r="X499" s="162"/>
      <c r="Y499" s="168"/>
      <c r="AQ499" s="166"/>
    </row>
    <row r="500">
      <c r="D500" s="162"/>
      <c r="E500" s="163"/>
      <c r="G500" s="164"/>
      <c r="L500" s="165"/>
      <c r="M500" s="166"/>
      <c r="N500" s="166"/>
      <c r="P500" s="167"/>
      <c r="T500" s="164"/>
      <c r="X500" s="162"/>
      <c r="Y500" s="168"/>
      <c r="AQ500" s="166"/>
    </row>
    <row r="501">
      <c r="D501" s="162"/>
      <c r="E501" s="163"/>
      <c r="G501" s="164"/>
      <c r="L501" s="165"/>
      <c r="M501" s="166"/>
      <c r="N501" s="166"/>
      <c r="P501" s="167"/>
      <c r="T501" s="164"/>
      <c r="X501" s="162"/>
      <c r="Y501" s="168"/>
      <c r="AQ501" s="166"/>
    </row>
    <row r="502">
      <c r="D502" s="162"/>
      <c r="E502" s="163"/>
      <c r="G502" s="164"/>
      <c r="L502" s="165"/>
      <c r="M502" s="166"/>
      <c r="N502" s="166"/>
      <c r="P502" s="167"/>
      <c r="T502" s="164"/>
      <c r="X502" s="162"/>
      <c r="Y502" s="168"/>
      <c r="AQ502" s="166"/>
    </row>
    <row r="503">
      <c r="D503" s="162"/>
      <c r="E503" s="163"/>
      <c r="G503" s="164"/>
      <c r="L503" s="165"/>
      <c r="M503" s="166"/>
      <c r="N503" s="166"/>
      <c r="P503" s="167"/>
      <c r="T503" s="164"/>
      <c r="X503" s="162"/>
      <c r="Y503" s="168"/>
      <c r="AQ503" s="166"/>
    </row>
    <row r="504">
      <c r="D504" s="162"/>
      <c r="E504" s="163"/>
      <c r="G504" s="164"/>
      <c r="L504" s="165"/>
      <c r="M504" s="166"/>
      <c r="N504" s="166"/>
      <c r="P504" s="167"/>
      <c r="T504" s="164"/>
      <c r="X504" s="162"/>
      <c r="Y504" s="168"/>
      <c r="AQ504" s="166"/>
    </row>
    <row r="505">
      <c r="D505" s="162"/>
      <c r="E505" s="163"/>
      <c r="G505" s="164"/>
      <c r="L505" s="165"/>
      <c r="M505" s="166"/>
      <c r="N505" s="166"/>
      <c r="P505" s="167"/>
      <c r="T505" s="164"/>
      <c r="X505" s="162"/>
      <c r="Y505" s="168"/>
      <c r="AQ505" s="166"/>
    </row>
    <row r="506">
      <c r="D506" s="162"/>
      <c r="E506" s="163"/>
      <c r="G506" s="164"/>
      <c r="L506" s="165"/>
      <c r="M506" s="166"/>
      <c r="N506" s="166"/>
      <c r="P506" s="167"/>
      <c r="T506" s="164"/>
      <c r="X506" s="162"/>
      <c r="Y506" s="168"/>
      <c r="AQ506" s="166"/>
    </row>
    <row r="507">
      <c r="D507" s="162"/>
      <c r="E507" s="163"/>
      <c r="G507" s="164"/>
      <c r="L507" s="165"/>
      <c r="M507" s="166"/>
      <c r="N507" s="166"/>
      <c r="P507" s="167"/>
      <c r="T507" s="164"/>
      <c r="X507" s="162"/>
      <c r="Y507" s="168"/>
      <c r="AQ507" s="166"/>
    </row>
    <row r="508">
      <c r="D508" s="162"/>
      <c r="E508" s="163"/>
      <c r="G508" s="164"/>
      <c r="L508" s="165"/>
      <c r="M508" s="166"/>
      <c r="N508" s="166"/>
      <c r="P508" s="167"/>
      <c r="T508" s="164"/>
      <c r="X508" s="162"/>
      <c r="Y508" s="168"/>
      <c r="AQ508" s="166"/>
    </row>
    <row r="509">
      <c r="D509" s="162"/>
      <c r="E509" s="163"/>
      <c r="G509" s="164"/>
      <c r="L509" s="165"/>
      <c r="M509" s="166"/>
      <c r="N509" s="166"/>
      <c r="P509" s="167"/>
      <c r="T509" s="164"/>
      <c r="X509" s="162"/>
      <c r="Y509" s="168"/>
      <c r="AQ509" s="166"/>
    </row>
    <row r="510">
      <c r="D510" s="162"/>
      <c r="E510" s="163"/>
      <c r="G510" s="164"/>
      <c r="L510" s="165"/>
      <c r="M510" s="166"/>
      <c r="N510" s="166"/>
      <c r="P510" s="167"/>
      <c r="T510" s="164"/>
      <c r="X510" s="162"/>
      <c r="Y510" s="168"/>
      <c r="AQ510" s="166"/>
    </row>
    <row r="511">
      <c r="D511" s="162"/>
      <c r="E511" s="163"/>
      <c r="G511" s="164"/>
      <c r="L511" s="165"/>
      <c r="M511" s="166"/>
      <c r="N511" s="166"/>
      <c r="P511" s="167"/>
      <c r="T511" s="164"/>
      <c r="X511" s="162"/>
      <c r="Y511" s="168"/>
      <c r="AQ511" s="166"/>
    </row>
    <row r="512">
      <c r="D512" s="162"/>
      <c r="E512" s="163"/>
      <c r="G512" s="164"/>
      <c r="L512" s="165"/>
      <c r="M512" s="166"/>
      <c r="N512" s="166"/>
      <c r="P512" s="167"/>
      <c r="T512" s="164"/>
      <c r="X512" s="162"/>
      <c r="Y512" s="168"/>
      <c r="AQ512" s="166"/>
    </row>
    <row r="513">
      <c r="D513" s="162"/>
      <c r="E513" s="163"/>
      <c r="G513" s="164"/>
      <c r="L513" s="165"/>
      <c r="M513" s="166"/>
      <c r="N513" s="166"/>
      <c r="P513" s="167"/>
      <c r="T513" s="164"/>
      <c r="X513" s="162"/>
      <c r="Y513" s="168"/>
      <c r="AQ513" s="166"/>
    </row>
    <row r="514">
      <c r="D514" s="162"/>
      <c r="E514" s="163"/>
      <c r="G514" s="164"/>
      <c r="L514" s="165"/>
      <c r="M514" s="166"/>
      <c r="N514" s="166"/>
      <c r="P514" s="167"/>
      <c r="T514" s="164"/>
      <c r="X514" s="162"/>
      <c r="Y514" s="168"/>
      <c r="AQ514" s="166"/>
    </row>
    <row r="515">
      <c r="D515" s="162"/>
      <c r="E515" s="163"/>
      <c r="G515" s="164"/>
      <c r="L515" s="165"/>
      <c r="M515" s="166"/>
      <c r="N515" s="166"/>
      <c r="P515" s="167"/>
      <c r="T515" s="164"/>
      <c r="X515" s="162"/>
      <c r="Y515" s="168"/>
      <c r="AQ515" s="166"/>
    </row>
    <row r="516">
      <c r="D516" s="162"/>
      <c r="E516" s="163"/>
      <c r="G516" s="164"/>
      <c r="L516" s="165"/>
      <c r="M516" s="166"/>
      <c r="N516" s="166"/>
      <c r="P516" s="167"/>
      <c r="T516" s="164"/>
      <c r="X516" s="162"/>
      <c r="Y516" s="168"/>
      <c r="AQ516" s="166"/>
    </row>
    <row r="517">
      <c r="D517" s="162"/>
      <c r="E517" s="163"/>
      <c r="G517" s="164"/>
      <c r="L517" s="165"/>
      <c r="M517" s="166"/>
      <c r="N517" s="166"/>
      <c r="P517" s="167"/>
      <c r="T517" s="164"/>
      <c r="X517" s="162"/>
      <c r="Y517" s="168"/>
      <c r="AQ517" s="166"/>
    </row>
    <row r="518">
      <c r="D518" s="162"/>
      <c r="E518" s="163"/>
      <c r="G518" s="164"/>
      <c r="L518" s="165"/>
      <c r="M518" s="166"/>
      <c r="N518" s="166"/>
      <c r="P518" s="167"/>
      <c r="T518" s="164"/>
      <c r="X518" s="162"/>
      <c r="Y518" s="168"/>
      <c r="AQ518" s="166"/>
    </row>
    <row r="519">
      <c r="D519" s="162"/>
      <c r="E519" s="163"/>
      <c r="G519" s="164"/>
      <c r="L519" s="165"/>
      <c r="M519" s="166"/>
      <c r="N519" s="166"/>
      <c r="P519" s="167"/>
      <c r="T519" s="164"/>
      <c r="X519" s="162"/>
      <c r="Y519" s="168"/>
      <c r="AQ519" s="166"/>
    </row>
    <row r="520">
      <c r="D520" s="162"/>
      <c r="E520" s="163"/>
      <c r="G520" s="164"/>
      <c r="L520" s="165"/>
      <c r="M520" s="166"/>
      <c r="N520" s="166"/>
      <c r="P520" s="167"/>
      <c r="T520" s="164"/>
      <c r="X520" s="162"/>
      <c r="Y520" s="168"/>
      <c r="AQ520" s="166"/>
    </row>
    <row r="521">
      <c r="D521" s="162"/>
      <c r="E521" s="163"/>
      <c r="G521" s="164"/>
      <c r="L521" s="165"/>
      <c r="M521" s="166"/>
      <c r="N521" s="166"/>
      <c r="P521" s="167"/>
      <c r="T521" s="164"/>
      <c r="X521" s="162"/>
      <c r="Y521" s="168"/>
      <c r="AQ521" s="166"/>
    </row>
    <row r="522">
      <c r="D522" s="162"/>
      <c r="E522" s="163"/>
      <c r="G522" s="164"/>
      <c r="L522" s="165"/>
      <c r="M522" s="166"/>
      <c r="N522" s="166"/>
      <c r="P522" s="167"/>
      <c r="T522" s="164"/>
      <c r="X522" s="162"/>
      <c r="Y522" s="168"/>
      <c r="AQ522" s="166"/>
    </row>
    <row r="523">
      <c r="D523" s="162"/>
      <c r="E523" s="163"/>
      <c r="G523" s="164"/>
      <c r="L523" s="165"/>
      <c r="M523" s="166"/>
      <c r="N523" s="166"/>
      <c r="P523" s="167"/>
      <c r="T523" s="164"/>
      <c r="X523" s="162"/>
      <c r="Y523" s="168"/>
      <c r="AQ523" s="166"/>
    </row>
    <row r="524">
      <c r="D524" s="162"/>
      <c r="E524" s="163"/>
      <c r="G524" s="164"/>
      <c r="L524" s="165"/>
      <c r="M524" s="166"/>
      <c r="N524" s="166"/>
      <c r="P524" s="167"/>
      <c r="T524" s="164"/>
      <c r="X524" s="162"/>
      <c r="Y524" s="168"/>
      <c r="AQ524" s="166"/>
    </row>
    <row r="525">
      <c r="D525" s="162"/>
      <c r="E525" s="163"/>
      <c r="G525" s="164"/>
      <c r="L525" s="165"/>
      <c r="M525" s="166"/>
      <c r="N525" s="166"/>
      <c r="P525" s="167"/>
      <c r="T525" s="164"/>
      <c r="X525" s="162"/>
      <c r="Y525" s="168"/>
      <c r="AQ525" s="166"/>
    </row>
    <row r="526">
      <c r="D526" s="162"/>
      <c r="E526" s="163"/>
      <c r="G526" s="164"/>
      <c r="L526" s="165"/>
      <c r="M526" s="166"/>
      <c r="N526" s="166"/>
      <c r="P526" s="167"/>
      <c r="T526" s="164"/>
      <c r="X526" s="162"/>
      <c r="Y526" s="168"/>
      <c r="AQ526" s="166"/>
    </row>
    <row r="527">
      <c r="D527" s="162"/>
      <c r="E527" s="163"/>
      <c r="G527" s="164"/>
      <c r="L527" s="165"/>
      <c r="M527" s="166"/>
      <c r="N527" s="166"/>
      <c r="P527" s="167"/>
      <c r="T527" s="164"/>
      <c r="X527" s="162"/>
      <c r="Y527" s="168"/>
      <c r="AQ527" s="166"/>
    </row>
    <row r="528">
      <c r="D528" s="162"/>
      <c r="E528" s="163"/>
      <c r="G528" s="164"/>
      <c r="L528" s="165"/>
      <c r="M528" s="166"/>
      <c r="N528" s="166"/>
      <c r="P528" s="167"/>
      <c r="T528" s="164"/>
      <c r="X528" s="162"/>
      <c r="Y528" s="168"/>
      <c r="AQ528" s="166"/>
    </row>
    <row r="529">
      <c r="D529" s="162"/>
      <c r="E529" s="163"/>
      <c r="G529" s="164"/>
      <c r="L529" s="165"/>
      <c r="M529" s="166"/>
      <c r="N529" s="166"/>
      <c r="P529" s="167"/>
      <c r="T529" s="164"/>
      <c r="X529" s="162"/>
      <c r="Y529" s="168"/>
      <c r="AQ529" s="166"/>
    </row>
    <row r="530">
      <c r="D530" s="162"/>
      <c r="E530" s="163"/>
      <c r="G530" s="164"/>
      <c r="L530" s="165"/>
      <c r="M530" s="166"/>
      <c r="N530" s="166"/>
      <c r="P530" s="167"/>
      <c r="T530" s="164"/>
      <c r="X530" s="162"/>
      <c r="Y530" s="168"/>
      <c r="AQ530" s="166"/>
    </row>
    <row r="531">
      <c r="D531" s="162"/>
      <c r="E531" s="163"/>
      <c r="G531" s="164"/>
      <c r="L531" s="165"/>
      <c r="M531" s="166"/>
      <c r="N531" s="166"/>
      <c r="P531" s="167"/>
      <c r="T531" s="164"/>
      <c r="X531" s="162"/>
      <c r="Y531" s="168"/>
      <c r="AQ531" s="166"/>
    </row>
    <row r="532">
      <c r="D532" s="162"/>
      <c r="E532" s="163"/>
      <c r="G532" s="164"/>
      <c r="L532" s="165"/>
      <c r="M532" s="166"/>
      <c r="N532" s="166"/>
      <c r="P532" s="167"/>
      <c r="T532" s="164"/>
      <c r="X532" s="162"/>
      <c r="Y532" s="168"/>
      <c r="AQ532" s="166"/>
    </row>
    <row r="533">
      <c r="D533" s="162"/>
      <c r="E533" s="163"/>
      <c r="G533" s="164"/>
      <c r="L533" s="165"/>
      <c r="M533" s="166"/>
      <c r="N533" s="166"/>
      <c r="P533" s="167"/>
      <c r="T533" s="164"/>
      <c r="X533" s="162"/>
      <c r="Y533" s="168"/>
      <c r="AQ533" s="166"/>
    </row>
    <row r="534">
      <c r="D534" s="162"/>
      <c r="E534" s="163"/>
      <c r="G534" s="164"/>
      <c r="L534" s="165"/>
      <c r="M534" s="166"/>
      <c r="N534" s="166"/>
      <c r="P534" s="167"/>
      <c r="T534" s="164"/>
      <c r="X534" s="162"/>
      <c r="Y534" s="168"/>
      <c r="AQ534" s="166"/>
    </row>
    <row r="535">
      <c r="D535" s="162"/>
      <c r="E535" s="163"/>
      <c r="G535" s="164"/>
      <c r="L535" s="165"/>
      <c r="M535" s="166"/>
      <c r="N535" s="166"/>
      <c r="P535" s="167"/>
      <c r="T535" s="164"/>
      <c r="X535" s="162"/>
      <c r="Y535" s="168"/>
      <c r="AQ535" s="166"/>
    </row>
    <row r="536">
      <c r="D536" s="162"/>
      <c r="E536" s="163"/>
      <c r="G536" s="164"/>
      <c r="L536" s="165"/>
      <c r="M536" s="166"/>
      <c r="N536" s="166"/>
      <c r="P536" s="167"/>
      <c r="T536" s="164"/>
      <c r="X536" s="162"/>
      <c r="Y536" s="168"/>
      <c r="AQ536" s="166"/>
    </row>
    <row r="537">
      <c r="D537" s="162"/>
      <c r="E537" s="163"/>
      <c r="G537" s="164"/>
      <c r="L537" s="165"/>
      <c r="M537" s="166"/>
      <c r="N537" s="166"/>
      <c r="P537" s="167"/>
      <c r="T537" s="164"/>
      <c r="X537" s="162"/>
      <c r="Y537" s="168"/>
      <c r="AQ537" s="166"/>
    </row>
    <row r="538">
      <c r="D538" s="162"/>
      <c r="E538" s="163"/>
      <c r="G538" s="164"/>
      <c r="L538" s="165"/>
      <c r="M538" s="166"/>
      <c r="N538" s="166"/>
      <c r="P538" s="167"/>
      <c r="T538" s="164"/>
      <c r="X538" s="162"/>
      <c r="Y538" s="168"/>
      <c r="AQ538" s="166"/>
    </row>
    <row r="539">
      <c r="D539" s="162"/>
      <c r="E539" s="163"/>
      <c r="G539" s="164"/>
      <c r="L539" s="165"/>
      <c r="M539" s="166"/>
      <c r="N539" s="166"/>
      <c r="P539" s="167"/>
      <c r="T539" s="164"/>
      <c r="X539" s="162"/>
      <c r="Y539" s="168"/>
      <c r="AQ539" s="166"/>
    </row>
    <row r="540">
      <c r="D540" s="162"/>
      <c r="E540" s="163"/>
      <c r="G540" s="164"/>
      <c r="L540" s="165"/>
      <c r="M540" s="166"/>
      <c r="N540" s="166"/>
      <c r="P540" s="167"/>
      <c r="T540" s="164"/>
      <c r="X540" s="162"/>
      <c r="Y540" s="168"/>
      <c r="AQ540" s="166"/>
    </row>
    <row r="541">
      <c r="D541" s="162"/>
      <c r="E541" s="163"/>
      <c r="G541" s="164"/>
      <c r="L541" s="165"/>
      <c r="M541" s="166"/>
      <c r="N541" s="166"/>
      <c r="P541" s="167"/>
      <c r="T541" s="164"/>
      <c r="X541" s="162"/>
      <c r="Y541" s="168"/>
      <c r="AQ541" s="166"/>
    </row>
    <row r="542">
      <c r="D542" s="162"/>
      <c r="E542" s="163"/>
      <c r="G542" s="164"/>
      <c r="L542" s="165"/>
      <c r="M542" s="166"/>
      <c r="N542" s="166"/>
      <c r="P542" s="167"/>
      <c r="T542" s="164"/>
      <c r="X542" s="162"/>
      <c r="Y542" s="168"/>
      <c r="AQ542" s="166"/>
    </row>
    <row r="543">
      <c r="D543" s="162"/>
      <c r="E543" s="163"/>
      <c r="G543" s="164"/>
      <c r="L543" s="165"/>
      <c r="M543" s="166"/>
      <c r="N543" s="166"/>
      <c r="P543" s="167"/>
      <c r="T543" s="164"/>
      <c r="X543" s="162"/>
      <c r="Y543" s="168"/>
      <c r="AQ543" s="166"/>
    </row>
    <row r="544">
      <c r="D544" s="162"/>
      <c r="E544" s="163"/>
      <c r="G544" s="164"/>
      <c r="L544" s="165"/>
      <c r="M544" s="166"/>
      <c r="N544" s="166"/>
      <c r="P544" s="167"/>
      <c r="T544" s="164"/>
      <c r="X544" s="162"/>
      <c r="Y544" s="168"/>
      <c r="AQ544" s="166"/>
    </row>
    <row r="545">
      <c r="D545" s="162"/>
      <c r="E545" s="163"/>
      <c r="G545" s="164"/>
      <c r="L545" s="165"/>
      <c r="M545" s="166"/>
      <c r="N545" s="166"/>
      <c r="P545" s="167"/>
      <c r="T545" s="164"/>
      <c r="X545" s="162"/>
      <c r="Y545" s="168"/>
      <c r="AQ545" s="166"/>
    </row>
    <row r="546">
      <c r="D546" s="162"/>
      <c r="E546" s="163"/>
      <c r="G546" s="164"/>
      <c r="L546" s="165"/>
      <c r="M546" s="166"/>
      <c r="N546" s="166"/>
      <c r="P546" s="167"/>
      <c r="T546" s="164"/>
      <c r="X546" s="162"/>
      <c r="Y546" s="168"/>
      <c r="AQ546" s="166"/>
    </row>
    <row r="547">
      <c r="D547" s="162"/>
      <c r="E547" s="163"/>
      <c r="G547" s="164"/>
      <c r="L547" s="165"/>
      <c r="M547" s="166"/>
      <c r="N547" s="166"/>
      <c r="P547" s="167"/>
      <c r="T547" s="164"/>
      <c r="X547" s="162"/>
      <c r="Y547" s="168"/>
      <c r="AQ547" s="166"/>
    </row>
    <row r="548">
      <c r="D548" s="162"/>
      <c r="E548" s="163"/>
      <c r="G548" s="164"/>
      <c r="L548" s="165"/>
      <c r="M548" s="166"/>
      <c r="N548" s="166"/>
      <c r="P548" s="167"/>
      <c r="T548" s="164"/>
      <c r="X548" s="162"/>
      <c r="Y548" s="168"/>
      <c r="AQ548" s="166"/>
    </row>
    <row r="549">
      <c r="D549" s="162"/>
      <c r="E549" s="163"/>
      <c r="G549" s="164"/>
      <c r="L549" s="165"/>
      <c r="M549" s="166"/>
      <c r="N549" s="166"/>
      <c r="P549" s="167"/>
      <c r="T549" s="164"/>
      <c r="X549" s="162"/>
      <c r="Y549" s="168"/>
      <c r="AQ549" s="166"/>
    </row>
    <row r="550">
      <c r="D550" s="162"/>
      <c r="E550" s="163"/>
      <c r="G550" s="164"/>
      <c r="L550" s="165"/>
      <c r="M550" s="166"/>
      <c r="N550" s="166"/>
      <c r="P550" s="167"/>
      <c r="T550" s="164"/>
      <c r="X550" s="162"/>
      <c r="Y550" s="168"/>
      <c r="AQ550" s="166"/>
    </row>
    <row r="551">
      <c r="D551" s="162"/>
      <c r="E551" s="163"/>
      <c r="G551" s="164"/>
      <c r="L551" s="165"/>
      <c r="M551" s="166"/>
      <c r="N551" s="166"/>
      <c r="P551" s="167"/>
      <c r="T551" s="164"/>
      <c r="X551" s="162"/>
      <c r="Y551" s="168"/>
      <c r="AQ551" s="166"/>
    </row>
    <row r="552">
      <c r="D552" s="162"/>
      <c r="E552" s="163"/>
      <c r="G552" s="164"/>
      <c r="L552" s="165"/>
      <c r="M552" s="166"/>
      <c r="N552" s="166"/>
      <c r="P552" s="167"/>
      <c r="T552" s="164"/>
      <c r="X552" s="162"/>
      <c r="Y552" s="168"/>
      <c r="AQ552" s="166"/>
    </row>
    <row r="553">
      <c r="D553" s="162"/>
      <c r="E553" s="163"/>
      <c r="G553" s="164"/>
      <c r="L553" s="165"/>
      <c r="M553" s="166"/>
      <c r="N553" s="166"/>
      <c r="P553" s="167"/>
      <c r="T553" s="164"/>
      <c r="X553" s="162"/>
      <c r="Y553" s="168"/>
      <c r="AQ553" s="166"/>
    </row>
    <row r="554">
      <c r="D554" s="162"/>
      <c r="E554" s="163"/>
      <c r="G554" s="164"/>
      <c r="L554" s="165"/>
      <c r="M554" s="166"/>
      <c r="N554" s="166"/>
      <c r="P554" s="167"/>
      <c r="T554" s="164"/>
      <c r="X554" s="162"/>
      <c r="Y554" s="168"/>
      <c r="AQ554" s="166"/>
    </row>
    <row r="555">
      <c r="D555" s="162"/>
      <c r="E555" s="163"/>
      <c r="G555" s="164"/>
      <c r="L555" s="165"/>
      <c r="M555" s="166"/>
      <c r="N555" s="166"/>
      <c r="P555" s="167"/>
      <c r="T555" s="164"/>
      <c r="X555" s="162"/>
      <c r="Y555" s="168"/>
      <c r="AQ555" s="166"/>
    </row>
    <row r="556">
      <c r="D556" s="162"/>
      <c r="E556" s="163"/>
      <c r="G556" s="164"/>
      <c r="L556" s="165"/>
      <c r="M556" s="166"/>
      <c r="N556" s="166"/>
      <c r="P556" s="167"/>
      <c r="T556" s="164"/>
      <c r="X556" s="162"/>
      <c r="Y556" s="168"/>
      <c r="AQ556" s="166"/>
    </row>
    <row r="557">
      <c r="D557" s="162"/>
      <c r="E557" s="163"/>
      <c r="G557" s="164"/>
      <c r="L557" s="165"/>
      <c r="M557" s="166"/>
      <c r="N557" s="166"/>
      <c r="P557" s="167"/>
      <c r="T557" s="164"/>
      <c r="X557" s="162"/>
      <c r="Y557" s="168"/>
      <c r="AQ557" s="166"/>
    </row>
    <row r="558">
      <c r="D558" s="162"/>
      <c r="E558" s="163"/>
      <c r="G558" s="164"/>
      <c r="L558" s="165"/>
      <c r="M558" s="166"/>
      <c r="N558" s="166"/>
      <c r="P558" s="167"/>
      <c r="T558" s="164"/>
      <c r="X558" s="162"/>
      <c r="Y558" s="168"/>
      <c r="AQ558" s="166"/>
    </row>
    <row r="559">
      <c r="D559" s="162"/>
      <c r="E559" s="163"/>
      <c r="G559" s="164"/>
      <c r="L559" s="165"/>
      <c r="M559" s="166"/>
      <c r="N559" s="166"/>
      <c r="P559" s="167"/>
      <c r="T559" s="164"/>
      <c r="X559" s="162"/>
      <c r="Y559" s="168"/>
      <c r="AQ559" s="166"/>
    </row>
    <row r="560">
      <c r="D560" s="162"/>
      <c r="E560" s="163"/>
      <c r="G560" s="164"/>
      <c r="L560" s="165"/>
      <c r="M560" s="166"/>
      <c r="N560" s="166"/>
      <c r="P560" s="167"/>
      <c r="T560" s="164"/>
      <c r="X560" s="162"/>
      <c r="Y560" s="168"/>
      <c r="AQ560" s="166"/>
    </row>
    <row r="561">
      <c r="D561" s="162"/>
      <c r="E561" s="163"/>
      <c r="G561" s="164"/>
      <c r="L561" s="165"/>
      <c r="M561" s="166"/>
      <c r="N561" s="166"/>
      <c r="P561" s="167"/>
      <c r="T561" s="164"/>
      <c r="X561" s="162"/>
      <c r="Y561" s="168"/>
      <c r="AQ561" s="166"/>
    </row>
    <row r="562">
      <c r="D562" s="162"/>
      <c r="E562" s="163"/>
      <c r="G562" s="164"/>
      <c r="L562" s="165"/>
      <c r="M562" s="166"/>
      <c r="N562" s="166"/>
      <c r="P562" s="167"/>
      <c r="T562" s="164"/>
      <c r="X562" s="162"/>
      <c r="Y562" s="168"/>
      <c r="AQ562" s="166"/>
    </row>
    <row r="563">
      <c r="D563" s="162"/>
      <c r="E563" s="163"/>
      <c r="G563" s="164"/>
      <c r="L563" s="165"/>
      <c r="M563" s="166"/>
      <c r="N563" s="166"/>
      <c r="P563" s="167"/>
      <c r="T563" s="164"/>
      <c r="X563" s="162"/>
      <c r="Y563" s="168"/>
      <c r="AQ563" s="166"/>
    </row>
    <row r="564">
      <c r="D564" s="162"/>
      <c r="E564" s="163"/>
      <c r="G564" s="164"/>
      <c r="L564" s="165"/>
      <c r="M564" s="166"/>
      <c r="N564" s="166"/>
      <c r="P564" s="167"/>
      <c r="T564" s="164"/>
      <c r="X564" s="162"/>
      <c r="Y564" s="168"/>
      <c r="AQ564" s="166"/>
    </row>
    <row r="565">
      <c r="D565" s="162"/>
      <c r="E565" s="163"/>
      <c r="G565" s="164"/>
      <c r="L565" s="165"/>
      <c r="M565" s="166"/>
      <c r="N565" s="166"/>
      <c r="P565" s="167"/>
      <c r="T565" s="164"/>
      <c r="X565" s="162"/>
      <c r="Y565" s="168"/>
      <c r="AQ565" s="166"/>
    </row>
    <row r="566">
      <c r="D566" s="162"/>
      <c r="E566" s="163"/>
      <c r="G566" s="164"/>
      <c r="L566" s="165"/>
      <c r="M566" s="166"/>
      <c r="N566" s="166"/>
      <c r="P566" s="167"/>
      <c r="T566" s="164"/>
      <c r="X566" s="162"/>
      <c r="Y566" s="168"/>
      <c r="AQ566" s="166"/>
    </row>
    <row r="567">
      <c r="D567" s="162"/>
      <c r="E567" s="163"/>
      <c r="G567" s="164"/>
      <c r="L567" s="165"/>
      <c r="M567" s="166"/>
      <c r="N567" s="166"/>
      <c r="P567" s="167"/>
      <c r="T567" s="164"/>
      <c r="X567" s="162"/>
      <c r="Y567" s="168"/>
      <c r="AQ567" s="166"/>
    </row>
    <row r="568">
      <c r="D568" s="162"/>
      <c r="E568" s="163"/>
      <c r="G568" s="164"/>
      <c r="L568" s="165"/>
      <c r="M568" s="166"/>
      <c r="N568" s="166"/>
      <c r="P568" s="167"/>
      <c r="T568" s="164"/>
      <c r="X568" s="162"/>
      <c r="Y568" s="168"/>
      <c r="AQ568" s="166"/>
    </row>
    <row r="569">
      <c r="D569" s="162"/>
      <c r="E569" s="163"/>
      <c r="G569" s="164"/>
      <c r="L569" s="165"/>
      <c r="M569" s="166"/>
      <c r="N569" s="166"/>
      <c r="P569" s="167"/>
      <c r="T569" s="164"/>
      <c r="X569" s="162"/>
      <c r="Y569" s="168"/>
      <c r="AQ569" s="166"/>
    </row>
    <row r="570">
      <c r="D570" s="162"/>
      <c r="E570" s="163"/>
      <c r="G570" s="164"/>
      <c r="L570" s="165"/>
      <c r="M570" s="166"/>
      <c r="N570" s="166"/>
      <c r="P570" s="167"/>
      <c r="T570" s="164"/>
      <c r="X570" s="162"/>
      <c r="Y570" s="168"/>
      <c r="AQ570" s="166"/>
    </row>
    <row r="571">
      <c r="D571" s="162"/>
      <c r="E571" s="163"/>
      <c r="G571" s="164"/>
      <c r="L571" s="165"/>
      <c r="M571" s="166"/>
      <c r="N571" s="166"/>
      <c r="P571" s="167"/>
      <c r="T571" s="164"/>
      <c r="X571" s="162"/>
      <c r="Y571" s="168"/>
      <c r="AQ571" s="166"/>
    </row>
    <row r="572">
      <c r="D572" s="162"/>
      <c r="E572" s="163"/>
      <c r="G572" s="164"/>
      <c r="L572" s="165"/>
      <c r="M572" s="166"/>
      <c r="N572" s="166"/>
      <c r="P572" s="167"/>
      <c r="T572" s="164"/>
      <c r="X572" s="162"/>
      <c r="Y572" s="168"/>
      <c r="AQ572" s="166"/>
    </row>
    <row r="573">
      <c r="D573" s="162"/>
      <c r="E573" s="163"/>
      <c r="G573" s="164"/>
      <c r="L573" s="165"/>
      <c r="M573" s="166"/>
      <c r="N573" s="166"/>
      <c r="P573" s="167"/>
      <c r="T573" s="164"/>
      <c r="X573" s="162"/>
      <c r="Y573" s="168"/>
      <c r="AQ573" s="166"/>
    </row>
    <row r="574">
      <c r="D574" s="162"/>
      <c r="E574" s="163"/>
      <c r="G574" s="164"/>
      <c r="L574" s="165"/>
      <c r="M574" s="166"/>
      <c r="N574" s="166"/>
      <c r="P574" s="167"/>
      <c r="T574" s="164"/>
      <c r="X574" s="162"/>
      <c r="Y574" s="168"/>
      <c r="AQ574" s="166"/>
    </row>
    <row r="575">
      <c r="D575" s="162"/>
      <c r="E575" s="163"/>
      <c r="G575" s="164"/>
      <c r="L575" s="165"/>
      <c r="M575" s="166"/>
      <c r="N575" s="166"/>
      <c r="P575" s="167"/>
      <c r="T575" s="164"/>
      <c r="X575" s="162"/>
      <c r="Y575" s="168"/>
      <c r="AQ575" s="166"/>
    </row>
    <row r="576">
      <c r="D576" s="162"/>
      <c r="E576" s="163"/>
      <c r="G576" s="164"/>
      <c r="L576" s="165"/>
      <c r="M576" s="166"/>
      <c r="N576" s="166"/>
      <c r="P576" s="167"/>
      <c r="T576" s="164"/>
      <c r="X576" s="162"/>
      <c r="Y576" s="168"/>
      <c r="AQ576" s="166"/>
    </row>
    <row r="577">
      <c r="D577" s="162"/>
      <c r="E577" s="163"/>
      <c r="G577" s="164"/>
      <c r="L577" s="165"/>
      <c r="M577" s="166"/>
      <c r="N577" s="166"/>
      <c r="P577" s="167"/>
      <c r="T577" s="164"/>
      <c r="X577" s="162"/>
      <c r="Y577" s="168"/>
      <c r="AQ577" s="166"/>
    </row>
    <row r="578">
      <c r="D578" s="162"/>
      <c r="E578" s="163"/>
      <c r="G578" s="164"/>
      <c r="L578" s="165"/>
      <c r="M578" s="166"/>
      <c r="N578" s="166"/>
      <c r="P578" s="167"/>
      <c r="T578" s="164"/>
      <c r="X578" s="162"/>
      <c r="Y578" s="168"/>
      <c r="AQ578" s="166"/>
    </row>
    <row r="579">
      <c r="D579" s="162"/>
      <c r="E579" s="163"/>
      <c r="G579" s="164"/>
      <c r="L579" s="165"/>
      <c r="M579" s="166"/>
      <c r="N579" s="166"/>
      <c r="P579" s="167"/>
      <c r="T579" s="164"/>
      <c r="X579" s="162"/>
      <c r="Y579" s="168"/>
      <c r="AQ579" s="166"/>
    </row>
    <row r="580">
      <c r="D580" s="162"/>
      <c r="E580" s="163"/>
      <c r="G580" s="164"/>
      <c r="L580" s="165"/>
      <c r="M580" s="166"/>
      <c r="N580" s="166"/>
      <c r="P580" s="167"/>
      <c r="T580" s="164"/>
      <c r="X580" s="162"/>
      <c r="Y580" s="168"/>
      <c r="AQ580" s="166"/>
    </row>
    <row r="581">
      <c r="D581" s="162"/>
      <c r="E581" s="163"/>
      <c r="G581" s="164"/>
      <c r="L581" s="165"/>
      <c r="M581" s="166"/>
      <c r="N581" s="166"/>
      <c r="P581" s="167"/>
      <c r="T581" s="164"/>
      <c r="X581" s="162"/>
      <c r="Y581" s="168"/>
      <c r="AQ581" s="166"/>
    </row>
    <row r="582">
      <c r="D582" s="162"/>
      <c r="E582" s="163"/>
      <c r="G582" s="164"/>
      <c r="L582" s="165"/>
      <c r="M582" s="166"/>
      <c r="N582" s="166"/>
      <c r="P582" s="167"/>
      <c r="T582" s="164"/>
      <c r="X582" s="162"/>
      <c r="Y582" s="168"/>
      <c r="AQ582" s="166"/>
    </row>
    <row r="583">
      <c r="D583" s="162"/>
      <c r="E583" s="163"/>
      <c r="G583" s="164"/>
      <c r="L583" s="165"/>
      <c r="M583" s="166"/>
      <c r="N583" s="166"/>
      <c r="P583" s="167"/>
      <c r="T583" s="164"/>
      <c r="X583" s="162"/>
      <c r="Y583" s="168"/>
      <c r="AQ583" s="166"/>
    </row>
    <row r="584">
      <c r="D584" s="162"/>
      <c r="E584" s="163"/>
      <c r="G584" s="164"/>
      <c r="L584" s="165"/>
      <c r="M584" s="166"/>
      <c r="N584" s="166"/>
      <c r="P584" s="167"/>
      <c r="T584" s="164"/>
      <c r="X584" s="162"/>
      <c r="Y584" s="168"/>
      <c r="AQ584" s="166"/>
    </row>
    <row r="585">
      <c r="D585" s="162"/>
      <c r="E585" s="163"/>
      <c r="G585" s="164"/>
      <c r="L585" s="165"/>
      <c r="M585" s="166"/>
      <c r="N585" s="166"/>
      <c r="P585" s="167"/>
      <c r="T585" s="164"/>
      <c r="X585" s="162"/>
      <c r="Y585" s="168"/>
      <c r="AQ585" s="166"/>
    </row>
    <row r="586">
      <c r="D586" s="162"/>
      <c r="E586" s="163"/>
      <c r="G586" s="164"/>
      <c r="L586" s="165"/>
      <c r="M586" s="166"/>
      <c r="N586" s="166"/>
      <c r="P586" s="167"/>
      <c r="T586" s="164"/>
      <c r="X586" s="162"/>
      <c r="Y586" s="168"/>
      <c r="AQ586" s="166"/>
    </row>
    <row r="587">
      <c r="D587" s="162"/>
      <c r="E587" s="163"/>
      <c r="G587" s="164"/>
      <c r="L587" s="165"/>
      <c r="M587" s="166"/>
      <c r="N587" s="166"/>
      <c r="P587" s="167"/>
      <c r="T587" s="164"/>
      <c r="X587" s="162"/>
      <c r="Y587" s="168"/>
      <c r="AQ587" s="166"/>
    </row>
    <row r="588">
      <c r="D588" s="162"/>
      <c r="E588" s="163"/>
      <c r="G588" s="164"/>
      <c r="L588" s="165"/>
      <c r="M588" s="166"/>
      <c r="N588" s="166"/>
      <c r="P588" s="167"/>
      <c r="T588" s="164"/>
      <c r="X588" s="162"/>
      <c r="Y588" s="168"/>
      <c r="AQ588" s="166"/>
    </row>
    <row r="589">
      <c r="D589" s="162"/>
      <c r="E589" s="163"/>
      <c r="G589" s="164"/>
      <c r="L589" s="165"/>
      <c r="M589" s="166"/>
      <c r="N589" s="166"/>
      <c r="P589" s="167"/>
      <c r="T589" s="164"/>
      <c r="X589" s="162"/>
      <c r="Y589" s="168"/>
      <c r="AQ589" s="166"/>
    </row>
    <row r="590">
      <c r="D590" s="162"/>
      <c r="E590" s="163"/>
      <c r="G590" s="164"/>
      <c r="L590" s="165"/>
      <c r="M590" s="166"/>
      <c r="N590" s="166"/>
      <c r="P590" s="167"/>
      <c r="T590" s="164"/>
      <c r="X590" s="162"/>
      <c r="Y590" s="168"/>
      <c r="AQ590" s="166"/>
    </row>
    <row r="591">
      <c r="D591" s="162"/>
      <c r="E591" s="163"/>
      <c r="G591" s="164"/>
      <c r="L591" s="165"/>
      <c r="M591" s="166"/>
      <c r="N591" s="166"/>
      <c r="P591" s="167"/>
      <c r="T591" s="164"/>
      <c r="X591" s="162"/>
      <c r="Y591" s="168"/>
      <c r="AQ591" s="166"/>
    </row>
    <row r="592">
      <c r="D592" s="162"/>
      <c r="E592" s="163"/>
      <c r="G592" s="164"/>
      <c r="L592" s="165"/>
      <c r="M592" s="166"/>
      <c r="N592" s="166"/>
      <c r="P592" s="167"/>
      <c r="T592" s="164"/>
      <c r="X592" s="162"/>
      <c r="Y592" s="168"/>
      <c r="AQ592" s="166"/>
    </row>
    <row r="593">
      <c r="D593" s="162"/>
      <c r="E593" s="163"/>
      <c r="G593" s="164"/>
      <c r="L593" s="165"/>
      <c r="M593" s="166"/>
      <c r="N593" s="166"/>
      <c r="P593" s="167"/>
      <c r="T593" s="164"/>
      <c r="X593" s="162"/>
      <c r="Y593" s="168"/>
      <c r="AQ593" s="166"/>
    </row>
    <row r="594">
      <c r="D594" s="162"/>
      <c r="E594" s="163"/>
      <c r="G594" s="164"/>
      <c r="L594" s="165"/>
      <c r="M594" s="166"/>
      <c r="N594" s="166"/>
      <c r="P594" s="167"/>
      <c r="T594" s="164"/>
      <c r="X594" s="162"/>
      <c r="Y594" s="168"/>
      <c r="AQ594" s="166"/>
    </row>
    <row r="595">
      <c r="D595" s="162"/>
      <c r="E595" s="163"/>
      <c r="G595" s="164"/>
      <c r="L595" s="165"/>
      <c r="M595" s="166"/>
      <c r="N595" s="166"/>
      <c r="P595" s="167"/>
      <c r="T595" s="164"/>
      <c r="X595" s="162"/>
      <c r="Y595" s="168"/>
      <c r="AQ595" s="166"/>
    </row>
    <row r="596">
      <c r="D596" s="162"/>
      <c r="E596" s="163"/>
      <c r="G596" s="164"/>
      <c r="L596" s="165"/>
      <c r="M596" s="166"/>
      <c r="N596" s="166"/>
      <c r="P596" s="167"/>
      <c r="T596" s="164"/>
      <c r="X596" s="162"/>
      <c r="Y596" s="168"/>
      <c r="AQ596" s="166"/>
    </row>
    <row r="597">
      <c r="D597" s="162"/>
      <c r="E597" s="163"/>
      <c r="G597" s="164"/>
      <c r="L597" s="165"/>
      <c r="M597" s="166"/>
      <c r="N597" s="166"/>
      <c r="P597" s="167"/>
      <c r="T597" s="164"/>
      <c r="X597" s="162"/>
      <c r="Y597" s="168"/>
      <c r="AQ597" s="166"/>
    </row>
    <row r="598">
      <c r="D598" s="162"/>
      <c r="E598" s="163"/>
      <c r="G598" s="164"/>
      <c r="L598" s="165"/>
      <c r="M598" s="166"/>
      <c r="N598" s="166"/>
      <c r="P598" s="167"/>
      <c r="T598" s="164"/>
      <c r="X598" s="162"/>
      <c r="Y598" s="168"/>
      <c r="AQ598" s="166"/>
    </row>
    <row r="599">
      <c r="D599" s="162"/>
      <c r="E599" s="163"/>
      <c r="G599" s="164"/>
      <c r="L599" s="165"/>
      <c r="M599" s="166"/>
      <c r="N599" s="166"/>
      <c r="P599" s="167"/>
      <c r="T599" s="164"/>
      <c r="X599" s="162"/>
      <c r="Y599" s="168"/>
      <c r="AQ599" s="166"/>
    </row>
    <row r="600">
      <c r="D600" s="162"/>
      <c r="E600" s="163"/>
      <c r="G600" s="164"/>
      <c r="L600" s="165"/>
      <c r="M600" s="166"/>
      <c r="N600" s="166"/>
      <c r="P600" s="167"/>
      <c r="T600" s="164"/>
      <c r="X600" s="162"/>
      <c r="Y600" s="168"/>
      <c r="AQ600" s="166"/>
    </row>
    <row r="601">
      <c r="D601" s="162"/>
      <c r="E601" s="163"/>
      <c r="G601" s="164"/>
      <c r="L601" s="165"/>
      <c r="M601" s="166"/>
      <c r="N601" s="166"/>
      <c r="P601" s="167"/>
      <c r="T601" s="164"/>
      <c r="X601" s="162"/>
      <c r="Y601" s="168"/>
      <c r="AQ601" s="166"/>
    </row>
    <row r="602">
      <c r="D602" s="162"/>
      <c r="E602" s="163"/>
      <c r="G602" s="164"/>
      <c r="L602" s="165"/>
      <c r="M602" s="166"/>
      <c r="N602" s="166"/>
      <c r="P602" s="167"/>
      <c r="T602" s="164"/>
      <c r="X602" s="162"/>
      <c r="Y602" s="168"/>
      <c r="AQ602" s="166"/>
    </row>
    <row r="603">
      <c r="D603" s="162"/>
      <c r="E603" s="163"/>
      <c r="G603" s="164"/>
      <c r="L603" s="165"/>
      <c r="M603" s="166"/>
      <c r="N603" s="166"/>
      <c r="P603" s="167"/>
      <c r="T603" s="164"/>
      <c r="X603" s="162"/>
      <c r="Y603" s="168"/>
      <c r="AQ603" s="166"/>
    </row>
    <row r="604">
      <c r="D604" s="162"/>
      <c r="E604" s="163"/>
      <c r="G604" s="164"/>
      <c r="L604" s="165"/>
      <c r="M604" s="166"/>
      <c r="N604" s="166"/>
      <c r="P604" s="167"/>
      <c r="T604" s="164"/>
      <c r="X604" s="162"/>
      <c r="Y604" s="168"/>
      <c r="AQ604" s="166"/>
    </row>
    <row r="605">
      <c r="D605" s="162"/>
      <c r="E605" s="163"/>
      <c r="G605" s="164"/>
      <c r="L605" s="165"/>
      <c r="M605" s="166"/>
      <c r="N605" s="166"/>
      <c r="P605" s="167"/>
      <c r="T605" s="164"/>
      <c r="X605" s="162"/>
      <c r="Y605" s="168"/>
      <c r="AQ605" s="166"/>
    </row>
    <row r="606">
      <c r="D606" s="162"/>
      <c r="E606" s="163"/>
      <c r="G606" s="164"/>
      <c r="L606" s="165"/>
      <c r="M606" s="166"/>
      <c r="N606" s="166"/>
      <c r="P606" s="167"/>
      <c r="T606" s="164"/>
      <c r="X606" s="162"/>
      <c r="Y606" s="168"/>
      <c r="AQ606" s="166"/>
    </row>
    <row r="607">
      <c r="D607" s="162"/>
      <c r="E607" s="163"/>
      <c r="G607" s="164"/>
      <c r="L607" s="165"/>
      <c r="M607" s="166"/>
      <c r="N607" s="166"/>
      <c r="P607" s="167"/>
      <c r="T607" s="164"/>
      <c r="X607" s="162"/>
      <c r="Y607" s="168"/>
      <c r="AQ607" s="166"/>
    </row>
    <row r="608">
      <c r="D608" s="162"/>
      <c r="E608" s="163"/>
      <c r="G608" s="164"/>
      <c r="L608" s="165"/>
      <c r="M608" s="166"/>
      <c r="N608" s="166"/>
      <c r="P608" s="167"/>
      <c r="T608" s="164"/>
      <c r="X608" s="162"/>
      <c r="Y608" s="168"/>
      <c r="AQ608" s="166"/>
    </row>
    <row r="609">
      <c r="D609" s="162"/>
      <c r="E609" s="163"/>
      <c r="G609" s="164"/>
      <c r="L609" s="165"/>
      <c r="M609" s="166"/>
      <c r="N609" s="166"/>
      <c r="P609" s="167"/>
      <c r="T609" s="164"/>
      <c r="X609" s="162"/>
      <c r="Y609" s="168"/>
      <c r="AQ609" s="166"/>
    </row>
    <row r="610">
      <c r="D610" s="162"/>
      <c r="E610" s="163"/>
      <c r="G610" s="164"/>
      <c r="L610" s="165"/>
      <c r="M610" s="166"/>
      <c r="N610" s="166"/>
      <c r="P610" s="167"/>
      <c r="T610" s="164"/>
      <c r="X610" s="162"/>
      <c r="Y610" s="168"/>
      <c r="AQ610" s="166"/>
    </row>
    <row r="611">
      <c r="D611" s="162"/>
      <c r="E611" s="163"/>
      <c r="G611" s="164"/>
      <c r="L611" s="165"/>
      <c r="M611" s="166"/>
      <c r="N611" s="166"/>
      <c r="P611" s="167"/>
      <c r="T611" s="164"/>
      <c r="X611" s="162"/>
      <c r="Y611" s="168"/>
      <c r="AQ611" s="166"/>
    </row>
    <row r="612">
      <c r="D612" s="162"/>
      <c r="E612" s="163"/>
      <c r="G612" s="164"/>
      <c r="L612" s="165"/>
      <c r="M612" s="166"/>
      <c r="N612" s="166"/>
      <c r="P612" s="167"/>
      <c r="T612" s="164"/>
      <c r="X612" s="162"/>
      <c r="Y612" s="168"/>
      <c r="AQ612" s="166"/>
    </row>
    <row r="613">
      <c r="D613" s="162"/>
      <c r="E613" s="163"/>
      <c r="G613" s="164"/>
      <c r="L613" s="165"/>
      <c r="M613" s="166"/>
      <c r="N613" s="166"/>
      <c r="P613" s="167"/>
      <c r="T613" s="164"/>
      <c r="X613" s="162"/>
      <c r="Y613" s="168"/>
      <c r="AQ613" s="166"/>
    </row>
    <row r="614">
      <c r="D614" s="162"/>
      <c r="E614" s="163"/>
      <c r="G614" s="164"/>
      <c r="L614" s="165"/>
      <c r="M614" s="166"/>
      <c r="N614" s="166"/>
      <c r="P614" s="167"/>
      <c r="T614" s="164"/>
      <c r="X614" s="162"/>
      <c r="Y614" s="168"/>
      <c r="AQ614" s="166"/>
    </row>
    <row r="615">
      <c r="D615" s="162"/>
      <c r="E615" s="163"/>
      <c r="G615" s="164"/>
      <c r="L615" s="165"/>
      <c r="M615" s="166"/>
      <c r="N615" s="166"/>
      <c r="P615" s="167"/>
      <c r="T615" s="164"/>
      <c r="X615" s="162"/>
      <c r="Y615" s="168"/>
      <c r="AQ615" s="166"/>
    </row>
    <row r="616">
      <c r="D616" s="162"/>
      <c r="E616" s="163"/>
      <c r="G616" s="164"/>
      <c r="L616" s="165"/>
      <c r="M616" s="166"/>
      <c r="N616" s="166"/>
      <c r="P616" s="167"/>
      <c r="T616" s="164"/>
      <c r="X616" s="162"/>
      <c r="Y616" s="168"/>
      <c r="AQ616" s="166"/>
    </row>
    <row r="617">
      <c r="D617" s="162"/>
      <c r="E617" s="163"/>
      <c r="G617" s="164"/>
      <c r="L617" s="165"/>
      <c r="M617" s="166"/>
      <c r="N617" s="166"/>
      <c r="P617" s="167"/>
      <c r="T617" s="164"/>
      <c r="X617" s="162"/>
      <c r="Y617" s="168"/>
      <c r="AQ617" s="166"/>
    </row>
    <row r="618">
      <c r="D618" s="162"/>
      <c r="E618" s="163"/>
      <c r="G618" s="164"/>
      <c r="L618" s="165"/>
      <c r="M618" s="166"/>
      <c r="N618" s="166"/>
      <c r="P618" s="167"/>
      <c r="T618" s="164"/>
      <c r="X618" s="162"/>
      <c r="Y618" s="168"/>
      <c r="AQ618" s="166"/>
    </row>
    <row r="619">
      <c r="D619" s="162"/>
      <c r="E619" s="163"/>
      <c r="G619" s="164"/>
      <c r="L619" s="165"/>
      <c r="M619" s="166"/>
      <c r="N619" s="166"/>
      <c r="P619" s="167"/>
      <c r="T619" s="164"/>
      <c r="X619" s="162"/>
      <c r="Y619" s="168"/>
      <c r="AQ619" s="166"/>
    </row>
    <row r="620">
      <c r="D620" s="162"/>
      <c r="E620" s="163"/>
      <c r="G620" s="164"/>
      <c r="L620" s="165"/>
      <c r="M620" s="166"/>
      <c r="N620" s="166"/>
      <c r="P620" s="167"/>
      <c r="T620" s="164"/>
      <c r="X620" s="162"/>
      <c r="Y620" s="168"/>
      <c r="AQ620" s="166"/>
    </row>
    <row r="621">
      <c r="D621" s="162"/>
      <c r="E621" s="163"/>
      <c r="G621" s="164"/>
      <c r="L621" s="165"/>
      <c r="M621" s="166"/>
      <c r="N621" s="166"/>
      <c r="P621" s="167"/>
      <c r="T621" s="164"/>
      <c r="X621" s="162"/>
      <c r="Y621" s="168"/>
      <c r="AQ621" s="166"/>
    </row>
    <row r="622">
      <c r="D622" s="162"/>
      <c r="E622" s="163"/>
      <c r="G622" s="164"/>
      <c r="L622" s="165"/>
      <c r="M622" s="166"/>
      <c r="N622" s="166"/>
      <c r="P622" s="167"/>
      <c r="T622" s="164"/>
      <c r="X622" s="162"/>
      <c r="Y622" s="168"/>
      <c r="AQ622" s="166"/>
    </row>
    <row r="623">
      <c r="D623" s="162"/>
      <c r="E623" s="163"/>
      <c r="G623" s="164"/>
      <c r="L623" s="165"/>
      <c r="M623" s="166"/>
      <c r="N623" s="166"/>
      <c r="P623" s="167"/>
      <c r="T623" s="164"/>
      <c r="X623" s="162"/>
      <c r="Y623" s="168"/>
      <c r="AQ623" s="166"/>
    </row>
    <row r="624">
      <c r="D624" s="162"/>
      <c r="E624" s="163"/>
      <c r="G624" s="164"/>
      <c r="L624" s="165"/>
      <c r="M624" s="166"/>
      <c r="N624" s="166"/>
      <c r="P624" s="167"/>
      <c r="T624" s="164"/>
      <c r="X624" s="162"/>
      <c r="Y624" s="168"/>
      <c r="AQ624" s="166"/>
    </row>
    <row r="625">
      <c r="D625" s="162"/>
      <c r="E625" s="163"/>
      <c r="G625" s="164"/>
      <c r="L625" s="165"/>
      <c r="M625" s="166"/>
      <c r="N625" s="166"/>
      <c r="P625" s="167"/>
      <c r="T625" s="164"/>
      <c r="X625" s="162"/>
      <c r="Y625" s="168"/>
      <c r="AQ625" s="166"/>
    </row>
    <row r="626">
      <c r="D626" s="162"/>
      <c r="E626" s="163"/>
      <c r="G626" s="164"/>
      <c r="L626" s="165"/>
      <c r="M626" s="166"/>
      <c r="N626" s="166"/>
      <c r="P626" s="167"/>
      <c r="T626" s="164"/>
      <c r="X626" s="162"/>
      <c r="Y626" s="168"/>
      <c r="AQ626" s="166"/>
    </row>
    <row r="627">
      <c r="D627" s="162"/>
      <c r="E627" s="163"/>
      <c r="G627" s="164"/>
      <c r="L627" s="165"/>
      <c r="M627" s="166"/>
      <c r="N627" s="166"/>
      <c r="P627" s="167"/>
      <c r="T627" s="164"/>
      <c r="X627" s="162"/>
      <c r="Y627" s="168"/>
      <c r="AQ627" s="166"/>
    </row>
    <row r="628">
      <c r="D628" s="162"/>
      <c r="E628" s="163"/>
      <c r="G628" s="164"/>
      <c r="L628" s="165"/>
      <c r="M628" s="166"/>
      <c r="N628" s="166"/>
      <c r="P628" s="167"/>
      <c r="T628" s="164"/>
      <c r="X628" s="162"/>
      <c r="Y628" s="168"/>
      <c r="AQ628" s="166"/>
    </row>
    <row r="629">
      <c r="D629" s="162"/>
      <c r="E629" s="163"/>
      <c r="G629" s="164"/>
      <c r="L629" s="165"/>
      <c r="M629" s="166"/>
      <c r="N629" s="166"/>
      <c r="P629" s="167"/>
      <c r="T629" s="164"/>
      <c r="X629" s="162"/>
      <c r="Y629" s="168"/>
      <c r="AQ629" s="166"/>
    </row>
    <row r="630">
      <c r="D630" s="162"/>
      <c r="E630" s="163"/>
      <c r="G630" s="164"/>
      <c r="L630" s="165"/>
      <c r="M630" s="166"/>
      <c r="N630" s="166"/>
      <c r="P630" s="167"/>
      <c r="T630" s="164"/>
      <c r="X630" s="162"/>
      <c r="Y630" s="168"/>
      <c r="AQ630" s="166"/>
    </row>
    <row r="631">
      <c r="D631" s="162"/>
      <c r="E631" s="163"/>
      <c r="G631" s="164"/>
      <c r="L631" s="165"/>
      <c r="M631" s="166"/>
      <c r="N631" s="166"/>
      <c r="P631" s="167"/>
      <c r="T631" s="164"/>
      <c r="X631" s="162"/>
      <c r="Y631" s="168"/>
      <c r="AQ631" s="166"/>
    </row>
    <row r="632">
      <c r="D632" s="162"/>
      <c r="E632" s="163"/>
      <c r="G632" s="164"/>
      <c r="L632" s="165"/>
      <c r="M632" s="166"/>
      <c r="N632" s="166"/>
      <c r="P632" s="167"/>
      <c r="T632" s="164"/>
      <c r="X632" s="162"/>
      <c r="Y632" s="168"/>
      <c r="AQ632" s="166"/>
    </row>
    <row r="633">
      <c r="D633" s="162"/>
      <c r="E633" s="163"/>
      <c r="G633" s="164"/>
      <c r="L633" s="165"/>
      <c r="M633" s="166"/>
      <c r="N633" s="166"/>
      <c r="P633" s="167"/>
      <c r="T633" s="164"/>
      <c r="X633" s="162"/>
      <c r="Y633" s="168"/>
      <c r="AQ633" s="166"/>
    </row>
    <row r="634">
      <c r="D634" s="162"/>
      <c r="E634" s="163"/>
      <c r="G634" s="164"/>
      <c r="L634" s="165"/>
      <c r="M634" s="166"/>
      <c r="N634" s="166"/>
      <c r="P634" s="167"/>
      <c r="T634" s="164"/>
      <c r="X634" s="162"/>
      <c r="Y634" s="168"/>
      <c r="AQ634" s="166"/>
    </row>
    <row r="635">
      <c r="D635" s="162"/>
      <c r="E635" s="163"/>
      <c r="G635" s="164"/>
      <c r="L635" s="165"/>
      <c r="M635" s="166"/>
      <c r="N635" s="166"/>
      <c r="P635" s="167"/>
      <c r="T635" s="164"/>
      <c r="X635" s="162"/>
      <c r="Y635" s="168"/>
      <c r="AQ635" s="166"/>
    </row>
    <row r="636">
      <c r="D636" s="162"/>
      <c r="E636" s="163"/>
      <c r="G636" s="164"/>
      <c r="L636" s="165"/>
      <c r="M636" s="166"/>
      <c r="N636" s="166"/>
      <c r="P636" s="167"/>
      <c r="T636" s="164"/>
      <c r="X636" s="162"/>
      <c r="Y636" s="168"/>
      <c r="AQ636" s="166"/>
    </row>
    <row r="637">
      <c r="D637" s="162"/>
      <c r="E637" s="163"/>
      <c r="G637" s="164"/>
      <c r="L637" s="165"/>
      <c r="M637" s="166"/>
      <c r="N637" s="166"/>
      <c r="P637" s="167"/>
      <c r="T637" s="164"/>
      <c r="X637" s="162"/>
      <c r="Y637" s="168"/>
      <c r="AQ637" s="166"/>
    </row>
    <row r="638">
      <c r="D638" s="162"/>
      <c r="E638" s="163"/>
      <c r="G638" s="164"/>
      <c r="L638" s="165"/>
      <c r="M638" s="166"/>
      <c r="N638" s="166"/>
      <c r="P638" s="167"/>
      <c r="T638" s="164"/>
      <c r="X638" s="162"/>
      <c r="Y638" s="168"/>
      <c r="AQ638" s="166"/>
    </row>
    <row r="639">
      <c r="D639" s="162"/>
      <c r="E639" s="163"/>
      <c r="G639" s="164"/>
      <c r="L639" s="165"/>
      <c r="M639" s="166"/>
      <c r="N639" s="166"/>
      <c r="P639" s="167"/>
      <c r="T639" s="164"/>
      <c r="X639" s="162"/>
      <c r="Y639" s="168"/>
      <c r="AQ639" s="166"/>
    </row>
    <row r="640">
      <c r="D640" s="162"/>
      <c r="E640" s="163"/>
      <c r="G640" s="164"/>
      <c r="L640" s="165"/>
      <c r="M640" s="166"/>
      <c r="N640" s="166"/>
      <c r="P640" s="167"/>
      <c r="T640" s="164"/>
      <c r="X640" s="162"/>
      <c r="Y640" s="168"/>
      <c r="AQ640" s="166"/>
    </row>
    <row r="641">
      <c r="D641" s="162"/>
      <c r="E641" s="163"/>
      <c r="G641" s="164"/>
      <c r="L641" s="165"/>
      <c r="M641" s="166"/>
      <c r="N641" s="166"/>
      <c r="P641" s="167"/>
      <c r="T641" s="164"/>
      <c r="X641" s="162"/>
      <c r="Y641" s="168"/>
      <c r="AQ641" s="166"/>
    </row>
    <row r="642">
      <c r="D642" s="162"/>
      <c r="E642" s="163"/>
      <c r="G642" s="164"/>
      <c r="L642" s="165"/>
      <c r="M642" s="166"/>
      <c r="N642" s="166"/>
      <c r="P642" s="167"/>
      <c r="T642" s="164"/>
      <c r="X642" s="162"/>
      <c r="Y642" s="168"/>
      <c r="AQ642" s="166"/>
    </row>
    <row r="643">
      <c r="D643" s="162"/>
      <c r="E643" s="163"/>
      <c r="G643" s="164"/>
      <c r="L643" s="165"/>
      <c r="M643" s="166"/>
      <c r="N643" s="166"/>
      <c r="P643" s="167"/>
      <c r="T643" s="164"/>
      <c r="X643" s="162"/>
      <c r="Y643" s="168"/>
      <c r="AQ643" s="166"/>
    </row>
    <row r="644">
      <c r="D644" s="162"/>
      <c r="E644" s="163"/>
      <c r="G644" s="164"/>
      <c r="L644" s="165"/>
      <c r="M644" s="166"/>
      <c r="N644" s="166"/>
      <c r="P644" s="167"/>
      <c r="T644" s="164"/>
      <c r="X644" s="162"/>
      <c r="Y644" s="168"/>
      <c r="AQ644" s="166"/>
    </row>
    <row r="645">
      <c r="D645" s="162"/>
      <c r="E645" s="163"/>
      <c r="G645" s="164"/>
      <c r="L645" s="165"/>
      <c r="M645" s="166"/>
      <c r="N645" s="166"/>
      <c r="P645" s="167"/>
      <c r="T645" s="164"/>
      <c r="X645" s="162"/>
      <c r="Y645" s="168"/>
      <c r="AQ645" s="166"/>
    </row>
    <row r="646">
      <c r="D646" s="162"/>
      <c r="E646" s="163"/>
      <c r="G646" s="164"/>
      <c r="L646" s="165"/>
      <c r="M646" s="166"/>
      <c r="N646" s="166"/>
      <c r="P646" s="167"/>
      <c r="T646" s="164"/>
      <c r="X646" s="162"/>
      <c r="Y646" s="168"/>
      <c r="AQ646" s="166"/>
    </row>
    <row r="647">
      <c r="D647" s="162"/>
      <c r="E647" s="163"/>
      <c r="G647" s="164"/>
      <c r="L647" s="165"/>
      <c r="M647" s="166"/>
      <c r="N647" s="166"/>
      <c r="P647" s="167"/>
      <c r="T647" s="164"/>
      <c r="X647" s="162"/>
      <c r="Y647" s="168"/>
      <c r="AQ647" s="166"/>
    </row>
    <row r="648">
      <c r="D648" s="162"/>
      <c r="E648" s="163"/>
      <c r="G648" s="164"/>
      <c r="L648" s="165"/>
      <c r="M648" s="166"/>
      <c r="N648" s="166"/>
      <c r="P648" s="167"/>
      <c r="T648" s="164"/>
      <c r="X648" s="162"/>
      <c r="Y648" s="168"/>
      <c r="AQ648" s="166"/>
    </row>
    <row r="649">
      <c r="D649" s="162"/>
      <c r="E649" s="163"/>
      <c r="G649" s="164"/>
      <c r="L649" s="165"/>
      <c r="M649" s="166"/>
      <c r="N649" s="166"/>
      <c r="P649" s="167"/>
      <c r="T649" s="164"/>
      <c r="X649" s="162"/>
      <c r="Y649" s="168"/>
      <c r="AQ649" s="166"/>
    </row>
    <row r="650">
      <c r="D650" s="162"/>
      <c r="E650" s="163"/>
      <c r="G650" s="164"/>
      <c r="L650" s="165"/>
      <c r="M650" s="166"/>
      <c r="N650" s="166"/>
      <c r="P650" s="167"/>
      <c r="T650" s="164"/>
      <c r="X650" s="162"/>
      <c r="Y650" s="168"/>
      <c r="AQ650" s="166"/>
    </row>
    <row r="651">
      <c r="D651" s="162"/>
      <c r="E651" s="163"/>
      <c r="G651" s="164"/>
      <c r="L651" s="165"/>
      <c r="M651" s="166"/>
      <c r="N651" s="166"/>
      <c r="P651" s="167"/>
      <c r="T651" s="164"/>
      <c r="X651" s="162"/>
      <c r="Y651" s="168"/>
      <c r="AQ651" s="166"/>
    </row>
    <row r="652">
      <c r="D652" s="162"/>
      <c r="E652" s="163"/>
      <c r="G652" s="164"/>
      <c r="L652" s="165"/>
      <c r="M652" s="166"/>
      <c r="N652" s="166"/>
      <c r="P652" s="167"/>
      <c r="T652" s="164"/>
      <c r="X652" s="162"/>
      <c r="Y652" s="168"/>
      <c r="AQ652" s="166"/>
    </row>
    <row r="653">
      <c r="D653" s="162"/>
      <c r="E653" s="163"/>
      <c r="G653" s="164"/>
      <c r="L653" s="165"/>
      <c r="M653" s="166"/>
      <c r="N653" s="166"/>
      <c r="P653" s="167"/>
      <c r="T653" s="164"/>
      <c r="X653" s="162"/>
      <c r="Y653" s="168"/>
      <c r="AQ653" s="166"/>
    </row>
    <row r="654">
      <c r="D654" s="162"/>
      <c r="E654" s="163"/>
      <c r="G654" s="164"/>
      <c r="L654" s="165"/>
      <c r="M654" s="166"/>
      <c r="N654" s="166"/>
      <c r="P654" s="167"/>
      <c r="T654" s="164"/>
      <c r="X654" s="162"/>
      <c r="Y654" s="168"/>
      <c r="AQ654" s="166"/>
    </row>
    <row r="655">
      <c r="D655" s="162"/>
      <c r="E655" s="163"/>
      <c r="G655" s="164"/>
      <c r="L655" s="165"/>
      <c r="M655" s="166"/>
      <c r="N655" s="166"/>
      <c r="P655" s="167"/>
      <c r="T655" s="164"/>
      <c r="X655" s="162"/>
      <c r="Y655" s="168"/>
      <c r="AQ655" s="166"/>
    </row>
    <row r="656">
      <c r="D656" s="162"/>
      <c r="E656" s="163"/>
      <c r="G656" s="164"/>
      <c r="L656" s="165"/>
      <c r="M656" s="166"/>
      <c r="N656" s="166"/>
      <c r="P656" s="167"/>
      <c r="T656" s="164"/>
      <c r="X656" s="162"/>
      <c r="Y656" s="168"/>
      <c r="AQ656" s="166"/>
    </row>
    <row r="657">
      <c r="D657" s="162"/>
      <c r="E657" s="163"/>
      <c r="G657" s="164"/>
      <c r="L657" s="165"/>
      <c r="M657" s="166"/>
      <c r="N657" s="166"/>
      <c r="P657" s="167"/>
      <c r="T657" s="164"/>
      <c r="X657" s="162"/>
      <c r="Y657" s="168"/>
      <c r="AQ657" s="166"/>
    </row>
    <row r="658">
      <c r="D658" s="162"/>
      <c r="E658" s="163"/>
      <c r="G658" s="164"/>
      <c r="L658" s="165"/>
      <c r="M658" s="166"/>
      <c r="N658" s="166"/>
      <c r="P658" s="167"/>
      <c r="T658" s="164"/>
      <c r="X658" s="162"/>
      <c r="Y658" s="168"/>
      <c r="AQ658" s="166"/>
    </row>
    <row r="659">
      <c r="D659" s="162"/>
      <c r="E659" s="163"/>
      <c r="G659" s="164"/>
      <c r="L659" s="165"/>
      <c r="M659" s="166"/>
      <c r="N659" s="166"/>
      <c r="P659" s="167"/>
      <c r="T659" s="164"/>
      <c r="X659" s="162"/>
      <c r="Y659" s="168"/>
      <c r="AQ659" s="166"/>
    </row>
    <row r="660">
      <c r="D660" s="162"/>
      <c r="E660" s="163"/>
      <c r="G660" s="164"/>
      <c r="L660" s="165"/>
      <c r="M660" s="166"/>
      <c r="N660" s="166"/>
      <c r="P660" s="167"/>
      <c r="T660" s="164"/>
      <c r="X660" s="162"/>
      <c r="Y660" s="168"/>
      <c r="AQ660" s="166"/>
    </row>
    <row r="661">
      <c r="D661" s="162"/>
      <c r="E661" s="163"/>
      <c r="G661" s="164"/>
      <c r="L661" s="165"/>
      <c r="M661" s="166"/>
      <c r="N661" s="166"/>
      <c r="P661" s="167"/>
      <c r="T661" s="164"/>
      <c r="X661" s="162"/>
      <c r="Y661" s="168"/>
      <c r="AQ661" s="166"/>
    </row>
    <row r="662">
      <c r="D662" s="162"/>
      <c r="E662" s="163"/>
      <c r="G662" s="164"/>
      <c r="L662" s="165"/>
      <c r="M662" s="166"/>
      <c r="N662" s="166"/>
      <c r="P662" s="167"/>
      <c r="T662" s="164"/>
      <c r="X662" s="162"/>
      <c r="Y662" s="168"/>
      <c r="AQ662" s="166"/>
    </row>
    <row r="663">
      <c r="D663" s="162"/>
      <c r="E663" s="163"/>
      <c r="G663" s="164"/>
      <c r="L663" s="165"/>
      <c r="M663" s="166"/>
      <c r="N663" s="166"/>
      <c r="P663" s="167"/>
      <c r="T663" s="164"/>
      <c r="X663" s="162"/>
      <c r="Y663" s="168"/>
      <c r="AQ663" s="166"/>
    </row>
    <row r="664">
      <c r="D664" s="162"/>
      <c r="E664" s="163"/>
      <c r="G664" s="164"/>
      <c r="L664" s="165"/>
      <c r="M664" s="166"/>
      <c r="N664" s="166"/>
      <c r="P664" s="167"/>
      <c r="T664" s="164"/>
      <c r="X664" s="162"/>
      <c r="Y664" s="168"/>
      <c r="AQ664" s="166"/>
    </row>
    <row r="665">
      <c r="D665" s="162"/>
      <c r="E665" s="163"/>
      <c r="G665" s="164"/>
      <c r="L665" s="165"/>
      <c r="M665" s="166"/>
      <c r="N665" s="166"/>
      <c r="P665" s="167"/>
      <c r="T665" s="164"/>
      <c r="X665" s="162"/>
      <c r="Y665" s="168"/>
      <c r="AQ665" s="166"/>
    </row>
    <row r="666">
      <c r="D666" s="162"/>
      <c r="E666" s="163"/>
      <c r="G666" s="164"/>
      <c r="L666" s="165"/>
      <c r="M666" s="166"/>
      <c r="N666" s="166"/>
      <c r="P666" s="167"/>
      <c r="T666" s="164"/>
      <c r="X666" s="162"/>
      <c r="Y666" s="168"/>
      <c r="AQ666" s="166"/>
    </row>
    <row r="667">
      <c r="D667" s="162"/>
      <c r="E667" s="163"/>
      <c r="G667" s="164"/>
      <c r="L667" s="165"/>
      <c r="M667" s="166"/>
      <c r="N667" s="166"/>
      <c r="P667" s="167"/>
      <c r="T667" s="164"/>
      <c r="X667" s="162"/>
      <c r="Y667" s="168"/>
      <c r="AQ667" s="166"/>
    </row>
    <row r="668">
      <c r="D668" s="162"/>
      <c r="E668" s="163"/>
      <c r="G668" s="164"/>
      <c r="L668" s="165"/>
      <c r="M668" s="166"/>
      <c r="N668" s="166"/>
      <c r="P668" s="167"/>
      <c r="T668" s="164"/>
      <c r="X668" s="162"/>
      <c r="Y668" s="168"/>
      <c r="AQ668" s="166"/>
    </row>
    <row r="669">
      <c r="D669" s="162"/>
      <c r="E669" s="163"/>
      <c r="G669" s="164"/>
      <c r="L669" s="165"/>
      <c r="M669" s="166"/>
      <c r="N669" s="166"/>
      <c r="P669" s="167"/>
      <c r="T669" s="164"/>
      <c r="X669" s="162"/>
      <c r="Y669" s="168"/>
      <c r="AQ669" s="166"/>
    </row>
    <row r="670">
      <c r="D670" s="162"/>
      <c r="E670" s="163"/>
      <c r="G670" s="164"/>
      <c r="L670" s="165"/>
      <c r="M670" s="166"/>
      <c r="N670" s="166"/>
      <c r="P670" s="167"/>
      <c r="T670" s="164"/>
      <c r="X670" s="162"/>
      <c r="Y670" s="168"/>
      <c r="AQ670" s="166"/>
    </row>
    <row r="671">
      <c r="D671" s="162"/>
      <c r="E671" s="163"/>
      <c r="G671" s="164"/>
      <c r="L671" s="165"/>
      <c r="M671" s="166"/>
      <c r="N671" s="166"/>
      <c r="P671" s="167"/>
      <c r="T671" s="164"/>
      <c r="X671" s="162"/>
      <c r="Y671" s="168"/>
      <c r="AQ671" s="166"/>
    </row>
    <row r="672">
      <c r="D672" s="162"/>
      <c r="E672" s="163"/>
      <c r="G672" s="164"/>
      <c r="L672" s="165"/>
      <c r="M672" s="166"/>
      <c r="N672" s="166"/>
      <c r="P672" s="167"/>
      <c r="T672" s="164"/>
      <c r="X672" s="162"/>
      <c r="Y672" s="168"/>
      <c r="AQ672" s="166"/>
    </row>
    <row r="673">
      <c r="D673" s="162"/>
      <c r="E673" s="163"/>
      <c r="G673" s="164"/>
      <c r="L673" s="165"/>
      <c r="M673" s="166"/>
      <c r="N673" s="166"/>
      <c r="P673" s="167"/>
      <c r="T673" s="164"/>
      <c r="X673" s="162"/>
      <c r="Y673" s="168"/>
      <c r="AQ673" s="166"/>
    </row>
    <row r="674">
      <c r="D674" s="162"/>
      <c r="E674" s="163"/>
      <c r="G674" s="164"/>
      <c r="L674" s="165"/>
      <c r="M674" s="166"/>
      <c r="N674" s="166"/>
      <c r="P674" s="167"/>
      <c r="T674" s="164"/>
      <c r="X674" s="162"/>
      <c r="Y674" s="168"/>
      <c r="AQ674" s="166"/>
    </row>
    <row r="675">
      <c r="D675" s="162"/>
      <c r="E675" s="163"/>
      <c r="G675" s="164"/>
      <c r="L675" s="165"/>
      <c r="M675" s="166"/>
      <c r="N675" s="166"/>
      <c r="P675" s="167"/>
      <c r="T675" s="164"/>
      <c r="X675" s="162"/>
      <c r="Y675" s="168"/>
      <c r="AQ675" s="166"/>
    </row>
    <row r="676">
      <c r="D676" s="162"/>
      <c r="E676" s="163"/>
      <c r="G676" s="164"/>
      <c r="L676" s="165"/>
      <c r="M676" s="166"/>
      <c r="N676" s="166"/>
      <c r="P676" s="167"/>
      <c r="T676" s="164"/>
      <c r="X676" s="162"/>
      <c r="Y676" s="168"/>
      <c r="AQ676" s="166"/>
    </row>
    <row r="677">
      <c r="D677" s="162"/>
      <c r="E677" s="163"/>
      <c r="G677" s="164"/>
      <c r="L677" s="165"/>
      <c r="M677" s="166"/>
      <c r="N677" s="166"/>
      <c r="P677" s="167"/>
      <c r="T677" s="164"/>
      <c r="X677" s="162"/>
      <c r="Y677" s="168"/>
      <c r="AQ677" s="166"/>
    </row>
    <row r="678">
      <c r="D678" s="162"/>
      <c r="E678" s="163"/>
      <c r="G678" s="164"/>
      <c r="L678" s="165"/>
      <c r="M678" s="166"/>
      <c r="N678" s="166"/>
      <c r="P678" s="167"/>
      <c r="T678" s="164"/>
      <c r="X678" s="162"/>
      <c r="Y678" s="168"/>
      <c r="AQ678" s="166"/>
    </row>
    <row r="679">
      <c r="D679" s="162"/>
      <c r="E679" s="163"/>
      <c r="G679" s="164"/>
      <c r="L679" s="165"/>
      <c r="M679" s="166"/>
      <c r="N679" s="166"/>
      <c r="P679" s="167"/>
      <c r="T679" s="164"/>
      <c r="X679" s="162"/>
      <c r="Y679" s="168"/>
      <c r="AQ679" s="166"/>
    </row>
    <row r="680">
      <c r="D680" s="162"/>
      <c r="E680" s="163"/>
      <c r="G680" s="164"/>
      <c r="L680" s="165"/>
      <c r="M680" s="166"/>
      <c r="N680" s="166"/>
      <c r="P680" s="167"/>
      <c r="T680" s="164"/>
      <c r="X680" s="162"/>
      <c r="Y680" s="168"/>
      <c r="AQ680" s="166"/>
    </row>
    <row r="681">
      <c r="D681" s="162"/>
      <c r="E681" s="163"/>
      <c r="G681" s="164"/>
      <c r="L681" s="165"/>
      <c r="M681" s="166"/>
      <c r="N681" s="166"/>
      <c r="P681" s="167"/>
      <c r="T681" s="164"/>
      <c r="X681" s="162"/>
      <c r="Y681" s="168"/>
      <c r="AQ681" s="166"/>
    </row>
    <row r="682">
      <c r="D682" s="162"/>
      <c r="E682" s="163"/>
      <c r="G682" s="164"/>
      <c r="L682" s="165"/>
      <c r="M682" s="166"/>
      <c r="N682" s="166"/>
      <c r="P682" s="167"/>
      <c r="T682" s="164"/>
      <c r="X682" s="162"/>
      <c r="Y682" s="168"/>
      <c r="AQ682" s="166"/>
    </row>
    <row r="683">
      <c r="D683" s="162"/>
      <c r="E683" s="163"/>
      <c r="G683" s="164"/>
      <c r="L683" s="165"/>
      <c r="M683" s="166"/>
      <c r="N683" s="166"/>
      <c r="P683" s="167"/>
      <c r="T683" s="164"/>
      <c r="X683" s="162"/>
      <c r="Y683" s="168"/>
      <c r="AQ683" s="166"/>
    </row>
    <row r="684">
      <c r="D684" s="162"/>
      <c r="E684" s="163"/>
      <c r="G684" s="164"/>
      <c r="L684" s="165"/>
      <c r="M684" s="166"/>
      <c r="N684" s="166"/>
      <c r="P684" s="167"/>
      <c r="T684" s="164"/>
      <c r="X684" s="162"/>
      <c r="Y684" s="168"/>
      <c r="AQ684" s="166"/>
    </row>
    <row r="685">
      <c r="D685" s="162"/>
      <c r="E685" s="163"/>
      <c r="G685" s="164"/>
      <c r="L685" s="165"/>
      <c r="M685" s="166"/>
      <c r="N685" s="166"/>
      <c r="P685" s="167"/>
      <c r="T685" s="164"/>
      <c r="X685" s="162"/>
      <c r="Y685" s="168"/>
      <c r="AQ685" s="166"/>
    </row>
    <row r="686">
      <c r="D686" s="162"/>
      <c r="E686" s="163"/>
      <c r="G686" s="164"/>
      <c r="L686" s="165"/>
      <c r="M686" s="166"/>
      <c r="N686" s="166"/>
      <c r="P686" s="167"/>
      <c r="T686" s="164"/>
      <c r="X686" s="162"/>
      <c r="Y686" s="168"/>
      <c r="AQ686" s="166"/>
    </row>
    <row r="687">
      <c r="D687" s="162"/>
      <c r="E687" s="163"/>
      <c r="G687" s="164"/>
      <c r="L687" s="165"/>
      <c r="M687" s="166"/>
      <c r="N687" s="166"/>
      <c r="P687" s="167"/>
      <c r="T687" s="164"/>
      <c r="X687" s="162"/>
      <c r="Y687" s="168"/>
      <c r="AQ687" s="166"/>
    </row>
    <row r="688">
      <c r="D688" s="162"/>
      <c r="E688" s="163"/>
      <c r="G688" s="164"/>
      <c r="L688" s="165"/>
      <c r="M688" s="166"/>
      <c r="N688" s="166"/>
      <c r="P688" s="167"/>
      <c r="T688" s="164"/>
      <c r="X688" s="162"/>
      <c r="Y688" s="168"/>
      <c r="AQ688" s="166"/>
    </row>
    <row r="689">
      <c r="D689" s="162"/>
      <c r="E689" s="163"/>
      <c r="G689" s="164"/>
      <c r="L689" s="165"/>
      <c r="M689" s="166"/>
      <c r="N689" s="166"/>
      <c r="P689" s="167"/>
      <c r="T689" s="164"/>
      <c r="X689" s="162"/>
      <c r="Y689" s="168"/>
      <c r="AQ689" s="166"/>
    </row>
    <row r="690">
      <c r="D690" s="162"/>
      <c r="E690" s="163"/>
      <c r="G690" s="164"/>
      <c r="L690" s="165"/>
      <c r="M690" s="166"/>
      <c r="N690" s="166"/>
      <c r="P690" s="167"/>
      <c r="T690" s="164"/>
      <c r="X690" s="162"/>
      <c r="Y690" s="168"/>
      <c r="AQ690" s="166"/>
    </row>
    <row r="691">
      <c r="D691" s="162"/>
      <c r="E691" s="163"/>
      <c r="G691" s="164"/>
      <c r="L691" s="165"/>
      <c r="M691" s="166"/>
      <c r="N691" s="166"/>
      <c r="P691" s="167"/>
      <c r="T691" s="164"/>
      <c r="X691" s="162"/>
      <c r="Y691" s="168"/>
      <c r="AQ691" s="166"/>
    </row>
    <row r="692">
      <c r="D692" s="162"/>
      <c r="E692" s="163"/>
      <c r="G692" s="164"/>
      <c r="L692" s="165"/>
      <c r="M692" s="166"/>
      <c r="N692" s="166"/>
      <c r="P692" s="167"/>
      <c r="T692" s="164"/>
      <c r="X692" s="162"/>
      <c r="Y692" s="168"/>
      <c r="AQ692" s="166"/>
    </row>
    <row r="693">
      <c r="D693" s="162"/>
      <c r="E693" s="163"/>
      <c r="G693" s="164"/>
      <c r="L693" s="165"/>
      <c r="M693" s="166"/>
      <c r="N693" s="166"/>
      <c r="P693" s="167"/>
      <c r="T693" s="164"/>
      <c r="X693" s="162"/>
      <c r="Y693" s="168"/>
      <c r="AQ693" s="166"/>
    </row>
    <row r="694">
      <c r="D694" s="162"/>
      <c r="E694" s="163"/>
      <c r="G694" s="164"/>
      <c r="L694" s="165"/>
      <c r="M694" s="166"/>
      <c r="N694" s="166"/>
      <c r="P694" s="167"/>
      <c r="T694" s="164"/>
      <c r="X694" s="162"/>
      <c r="Y694" s="168"/>
      <c r="AQ694" s="166"/>
    </row>
    <row r="695">
      <c r="D695" s="162"/>
      <c r="E695" s="163"/>
      <c r="G695" s="164"/>
      <c r="L695" s="165"/>
      <c r="M695" s="166"/>
      <c r="N695" s="166"/>
      <c r="P695" s="167"/>
      <c r="T695" s="164"/>
      <c r="X695" s="162"/>
      <c r="Y695" s="168"/>
      <c r="AQ695" s="166"/>
    </row>
    <row r="696">
      <c r="D696" s="162"/>
      <c r="E696" s="163"/>
      <c r="G696" s="164"/>
      <c r="L696" s="165"/>
      <c r="M696" s="166"/>
      <c r="N696" s="166"/>
      <c r="P696" s="167"/>
      <c r="T696" s="164"/>
      <c r="X696" s="162"/>
      <c r="Y696" s="168"/>
      <c r="AQ696" s="166"/>
    </row>
    <row r="697">
      <c r="D697" s="162"/>
      <c r="E697" s="163"/>
      <c r="G697" s="164"/>
      <c r="L697" s="165"/>
      <c r="M697" s="166"/>
      <c r="N697" s="166"/>
      <c r="P697" s="167"/>
      <c r="T697" s="164"/>
      <c r="X697" s="162"/>
      <c r="Y697" s="168"/>
      <c r="AQ697" s="166"/>
    </row>
    <row r="698">
      <c r="D698" s="162"/>
      <c r="E698" s="163"/>
      <c r="G698" s="164"/>
      <c r="L698" s="165"/>
      <c r="M698" s="166"/>
      <c r="N698" s="166"/>
      <c r="P698" s="167"/>
      <c r="T698" s="164"/>
      <c r="X698" s="162"/>
      <c r="Y698" s="168"/>
      <c r="AQ698" s="166"/>
    </row>
    <row r="699">
      <c r="D699" s="162"/>
      <c r="E699" s="163"/>
      <c r="G699" s="164"/>
      <c r="L699" s="165"/>
      <c r="M699" s="166"/>
      <c r="N699" s="166"/>
      <c r="P699" s="167"/>
      <c r="T699" s="164"/>
      <c r="X699" s="162"/>
      <c r="Y699" s="168"/>
      <c r="AQ699" s="166"/>
    </row>
    <row r="700">
      <c r="D700" s="162"/>
      <c r="E700" s="163"/>
      <c r="G700" s="164"/>
      <c r="L700" s="165"/>
      <c r="M700" s="166"/>
      <c r="N700" s="166"/>
      <c r="P700" s="167"/>
      <c r="T700" s="164"/>
      <c r="X700" s="162"/>
      <c r="Y700" s="168"/>
      <c r="AQ700" s="166"/>
    </row>
    <row r="701">
      <c r="D701" s="162"/>
      <c r="E701" s="163"/>
      <c r="G701" s="164"/>
      <c r="L701" s="165"/>
      <c r="M701" s="166"/>
      <c r="N701" s="166"/>
      <c r="P701" s="167"/>
      <c r="T701" s="164"/>
      <c r="X701" s="162"/>
      <c r="Y701" s="168"/>
      <c r="AQ701" s="166"/>
    </row>
    <row r="702">
      <c r="D702" s="162"/>
      <c r="E702" s="163"/>
      <c r="G702" s="164"/>
      <c r="L702" s="165"/>
      <c r="M702" s="166"/>
      <c r="N702" s="166"/>
      <c r="P702" s="167"/>
      <c r="T702" s="164"/>
      <c r="X702" s="162"/>
      <c r="Y702" s="168"/>
      <c r="AQ702" s="166"/>
    </row>
    <row r="703">
      <c r="D703" s="162"/>
      <c r="E703" s="163"/>
      <c r="G703" s="164"/>
      <c r="L703" s="165"/>
      <c r="M703" s="166"/>
      <c r="N703" s="166"/>
      <c r="P703" s="167"/>
      <c r="T703" s="164"/>
      <c r="X703" s="162"/>
      <c r="Y703" s="168"/>
      <c r="AQ703" s="166"/>
    </row>
    <row r="704">
      <c r="D704" s="162"/>
      <c r="E704" s="163"/>
      <c r="G704" s="164"/>
      <c r="L704" s="165"/>
      <c r="M704" s="166"/>
      <c r="N704" s="166"/>
      <c r="P704" s="167"/>
      <c r="T704" s="164"/>
      <c r="X704" s="162"/>
      <c r="Y704" s="168"/>
      <c r="AQ704" s="166"/>
    </row>
    <row r="705">
      <c r="D705" s="162"/>
      <c r="E705" s="163"/>
      <c r="G705" s="164"/>
      <c r="L705" s="165"/>
      <c r="M705" s="166"/>
      <c r="N705" s="166"/>
      <c r="P705" s="167"/>
      <c r="T705" s="164"/>
      <c r="X705" s="162"/>
      <c r="Y705" s="168"/>
      <c r="AQ705" s="166"/>
    </row>
    <row r="706">
      <c r="D706" s="162"/>
      <c r="E706" s="163"/>
      <c r="G706" s="164"/>
      <c r="L706" s="165"/>
      <c r="M706" s="166"/>
      <c r="N706" s="166"/>
      <c r="P706" s="167"/>
      <c r="T706" s="164"/>
      <c r="X706" s="162"/>
      <c r="Y706" s="168"/>
      <c r="AQ706" s="166"/>
    </row>
    <row r="707">
      <c r="D707" s="162"/>
      <c r="E707" s="163"/>
      <c r="G707" s="164"/>
      <c r="L707" s="165"/>
      <c r="M707" s="166"/>
      <c r="N707" s="166"/>
      <c r="P707" s="167"/>
      <c r="T707" s="164"/>
      <c r="X707" s="162"/>
      <c r="Y707" s="168"/>
      <c r="AQ707" s="166"/>
    </row>
    <row r="708">
      <c r="D708" s="162"/>
      <c r="E708" s="163"/>
      <c r="G708" s="164"/>
      <c r="L708" s="165"/>
      <c r="M708" s="166"/>
      <c r="N708" s="166"/>
      <c r="P708" s="167"/>
      <c r="T708" s="164"/>
      <c r="X708" s="162"/>
      <c r="Y708" s="168"/>
      <c r="AQ708" s="166"/>
    </row>
    <row r="709">
      <c r="D709" s="162"/>
      <c r="E709" s="163"/>
      <c r="G709" s="164"/>
      <c r="L709" s="165"/>
      <c r="M709" s="166"/>
      <c r="N709" s="166"/>
      <c r="P709" s="167"/>
      <c r="T709" s="164"/>
      <c r="X709" s="162"/>
      <c r="Y709" s="168"/>
      <c r="AQ709" s="166"/>
    </row>
    <row r="710">
      <c r="D710" s="162"/>
      <c r="E710" s="163"/>
      <c r="G710" s="164"/>
      <c r="L710" s="165"/>
      <c r="M710" s="166"/>
      <c r="N710" s="166"/>
      <c r="P710" s="167"/>
      <c r="T710" s="164"/>
      <c r="X710" s="162"/>
      <c r="Y710" s="168"/>
      <c r="AQ710" s="166"/>
    </row>
    <row r="711">
      <c r="D711" s="162"/>
      <c r="E711" s="163"/>
      <c r="G711" s="164"/>
      <c r="L711" s="165"/>
      <c r="M711" s="166"/>
      <c r="N711" s="166"/>
      <c r="P711" s="167"/>
      <c r="T711" s="164"/>
      <c r="X711" s="162"/>
      <c r="Y711" s="168"/>
      <c r="AQ711" s="166"/>
    </row>
    <row r="712">
      <c r="D712" s="162"/>
      <c r="E712" s="163"/>
      <c r="G712" s="164"/>
      <c r="L712" s="165"/>
      <c r="M712" s="166"/>
      <c r="N712" s="166"/>
      <c r="P712" s="167"/>
      <c r="T712" s="164"/>
      <c r="X712" s="162"/>
      <c r="Y712" s="168"/>
      <c r="AQ712" s="166"/>
    </row>
    <row r="713">
      <c r="D713" s="162"/>
      <c r="E713" s="163"/>
      <c r="G713" s="164"/>
      <c r="L713" s="165"/>
      <c r="M713" s="166"/>
      <c r="N713" s="166"/>
      <c r="P713" s="167"/>
      <c r="T713" s="164"/>
      <c r="X713" s="162"/>
      <c r="Y713" s="168"/>
      <c r="AQ713" s="166"/>
    </row>
    <row r="714">
      <c r="D714" s="162"/>
      <c r="E714" s="163"/>
      <c r="G714" s="164"/>
      <c r="L714" s="165"/>
      <c r="M714" s="166"/>
      <c r="N714" s="166"/>
      <c r="P714" s="167"/>
      <c r="T714" s="164"/>
      <c r="X714" s="162"/>
      <c r="Y714" s="168"/>
      <c r="AQ714" s="166"/>
    </row>
    <row r="715">
      <c r="D715" s="162"/>
      <c r="E715" s="163"/>
      <c r="G715" s="164"/>
      <c r="L715" s="165"/>
      <c r="M715" s="166"/>
      <c r="N715" s="166"/>
      <c r="P715" s="167"/>
      <c r="T715" s="164"/>
      <c r="X715" s="162"/>
      <c r="Y715" s="168"/>
      <c r="AQ715" s="166"/>
    </row>
    <row r="716">
      <c r="D716" s="162"/>
      <c r="E716" s="163"/>
      <c r="G716" s="164"/>
      <c r="L716" s="165"/>
      <c r="M716" s="166"/>
      <c r="N716" s="166"/>
      <c r="P716" s="167"/>
      <c r="T716" s="164"/>
      <c r="X716" s="162"/>
      <c r="Y716" s="168"/>
      <c r="AQ716" s="166"/>
    </row>
    <row r="717">
      <c r="D717" s="162"/>
      <c r="E717" s="163"/>
      <c r="G717" s="164"/>
      <c r="L717" s="165"/>
      <c r="M717" s="166"/>
      <c r="N717" s="166"/>
      <c r="P717" s="167"/>
      <c r="T717" s="164"/>
      <c r="X717" s="162"/>
      <c r="Y717" s="168"/>
      <c r="AQ717" s="166"/>
    </row>
    <row r="718">
      <c r="D718" s="162"/>
      <c r="E718" s="163"/>
      <c r="G718" s="164"/>
      <c r="L718" s="165"/>
      <c r="M718" s="166"/>
      <c r="N718" s="166"/>
      <c r="P718" s="167"/>
      <c r="T718" s="164"/>
      <c r="X718" s="162"/>
      <c r="Y718" s="168"/>
      <c r="AQ718" s="166"/>
    </row>
    <row r="719">
      <c r="D719" s="162"/>
      <c r="E719" s="163"/>
      <c r="G719" s="164"/>
      <c r="L719" s="165"/>
      <c r="M719" s="166"/>
      <c r="N719" s="166"/>
      <c r="P719" s="167"/>
      <c r="T719" s="164"/>
      <c r="X719" s="162"/>
      <c r="Y719" s="168"/>
      <c r="AQ719" s="166"/>
    </row>
    <row r="720">
      <c r="D720" s="162"/>
      <c r="E720" s="163"/>
      <c r="G720" s="164"/>
      <c r="L720" s="165"/>
      <c r="M720" s="166"/>
      <c r="N720" s="166"/>
      <c r="P720" s="167"/>
      <c r="T720" s="164"/>
      <c r="X720" s="162"/>
      <c r="Y720" s="168"/>
      <c r="AQ720" s="166"/>
    </row>
    <row r="721">
      <c r="D721" s="162"/>
      <c r="E721" s="163"/>
      <c r="G721" s="164"/>
      <c r="L721" s="165"/>
      <c r="M721" s="166"/>
      <c r="N721" s="166"/>
      <c r="P721" s="167"/>
      <c r="T721" s="164"/>
      <c r="X721" s="162"/>
      <c r="Y721" s="168"/>
      <c r="AQ721" s="166"/>
    </row>
    <row r="722">
      <c r="D722" s="162"/>
      <c r="E722" s="163"/>
      <c r="G722" s="164"/>
      <c r="L722" s="165"/>
      <c r="M722" s="166"/>
      <c r="N722" s="166"/>
      <c r="P722" s="167"/>
      <c r="T722" s="164"/>
      <c r="X722" s="162"/>
      <c r="Y722" s="168"/>
      <c r="AQ722" s="166"/>
    </row>
    <row r="723">
      <c r="D723" s="162"/>
      <c r="E723" s="163"/>
      <c r="G723" s="164"/>
      <c r="L723" s="165"/>
      <c r="M723" s="166"/>
      <c r="N723" s="166"/>
      <c r="P723" s="167"/>
      <c r="T723" s="164"/>
      <c r="X723" s="162"/>
      <c r="Y723" s="168"/>
      <c r="AQ723" s="166"/>
    </row>
    <row r="724">
      <c r="D724" s="162"/>
      <c r="E724" s="163"/>
      <c r="G724" s="164"/>
      <c r="L724" s="165"/>
      <c r="M724" s="166"/>
      <c r="N724" s="166"/>
      <c r="P724" s="167"/>
      <c r="T724" s="164"/>
      <c r="X724" s="162"/>
      <c r="Y724" s="168"/>
      <c r="AQ724" s="166"/>
    </row>
    <row r="725">
      <c r="D725" s="162"/>
      <c r="E725" s="163"/>
      <c r="G725" s="164"/>
      <c r="L725" s="165"/>
      <c r="M725" s="166"/>
      <c r="N725" s="166"/>
      <c r="P725" s="167"/>
      <c r="T725" s="164"/>
      <c r="X725" s="162"/>
      <c r="Y725" s="168"/>
      <c r="AQ725" s="166"/>
    </row>
    <row r="726">
      <c r="D726" s="162"/>
      <c r="E726" s="163"/>
      <c r="G726" s="164"/>
      <c r="L726" s="165"/>
      <c r="M726" s="166"/>
      <c r="N726" s="166"/>
      <c r="P726" s="167"/>
      <c r="T726" s="164"/>
      <c r="X726" s="162"/>
      <c r="Y726" s="168"/>
      <c r="AQ726" s="166"/>
    </row>
    <row r="727">
      <c r="D727" s="162"/>
      <c r="E727" s="163"/>
      <c r="G727" s="164"/>
      <c r="L727" s="165"/>
      <c r="M727" s="166"/>
      <c r="N727" s="166"/>
      <c r="P727" s="167"/>
      <c r="T727" s="164"/>
      <c r="X727" s="162"/>
      <c r="Y727" s="168"/>
      <c r="AQ727" s="166"/>
    </row>
    <row r="728">
      <c r="D728" s="162"/>
      <c r="E728" s="163"/>
      <c r="G728" s="164"/>
      <c r="L728" s="165"/>
      <c r="M728" s="166"/>
      <c r="N728" s="166"/>
      <c r="P728" s="167"/>
      <c r="T728" s="164"/>
      <c r="X728" s="162"/>
      <c r="Y728" s="168"/>
      <c r="AQ728" s="166"/>
    </row>
    <row r="729">
      <c r="D729" s="162"/>
      <c r="E729" s="163"/>
      <c r="G729" s="164"/>
      <c r="L729" s="165"/>
      <c r="M729" s="166"/>
      <c r="N729" s="166"/>
      <c r="P729" s="167"/>
      <c r="T729" s="164"/>
      <c r="X729" s="162"/>
      <c r="Y729" s="168"/>
      <c r="AQ729" s="166"/>
    </row>
    <row r="730">
      <c r="D730" s="162"/>
      <c r="E730" s="163"/>
      <c r="G730" s="164"/>
      <c r="L730" s="165"/>
      <c r="M730" s="166"/>
      <c r="N730" s="166"/>
      <c r="P730" s="167"/>
      <c r="T730" s="164"/>
      <c r="X730" s="162"/>
      <c r="Y730" s="168"/>
      <c r="AQ730" s="166"/>
    </row>
    <row r="731">
      <c r="D731" s="162"/>
      <c r="E731" s="163"/>
      <c r="G731" s="164"/>
      <c r="L731" s="165"/>
      <c r="M731" s="166"/>
      <c r="N731" s="166"/>
      <c r="P731" s="167"/>
      <c r="T731" s="164"/>
      <c r="X731" s="162"/>
      <c r="Y731" s="168"/>
      <c r="AQ731" s="166"/>
    </row>
    <row r="732">
      <c r="D732" s="162"/>
      <c r="E732" s="163"/>
      <c r="G732" s="164"/>
      <c r="L732" s="165"/>
      <c r="M732" s="166"/>
      <c r="N732" s="166"/>
      <c r="P732" s="167"/>
      <c r="T732" s="164"/>
      <c r="X732" s="162"/>
      <c r="Y732" s="168"/>
      <c r="AQ732" s="166"/>
    </row>
    <row r="733">
      <c r="D733" s="162"/>
      <c r="E733" s="163"/>
      <c r="G733" s="164"/>
      <c r="L733" s="165"/>
      <c r="M733" s="166"/>
      <c r="N733" s="166"/>
      <c r="P733" s="167"/>
      <c r="T733" s="164"/>
      <c r="X733" s="162"/>
      <c r="Y733" s="168"/>
      <c r="AQ733" s="166"/>
    </row>
    <row r="734">
      <c r="D734" s="162"/>
      <c r="E734" s="163"/>
      <c r="G734" s="164"/>
      <c r="L734" s="165"/>
      <c r="M734" s="166"/>
      <c r="N734" s="166"/>
      <c r="P734" s="167"/>
      <c r="T734" s="164"/>
      <c r="X734" s="162"/>
      <c r="Y734" s="168"/>
      <c r="AQ734" s="166"/>
    </row>
    <row r="735">
      <c r="D735" s="162"/>
      <c r="E735" s="163"/>
      <c r="G735" s="164"/>
      <c r="L735" s="165"/>
      <c r="M735" s="166"/>
      <c r="N735" s="166"/>
      <c r="P735" s="167"/>
      <c r="T735" s="164"/>
      <c r="X735" s="162"/>
      <c r="Y735" s="168"/>
      <c r="AQ735" s="166"/>
    </row>
    <row r="736">
      <c r="D736" s="162"/>
      <c r="E736" s="163"/>
      <c r="G736" s="164"/>
      <c r="L736" s="165"/>
      <c r="M736" s="166"/>
      <c r="N736" s="166"/>
      <c r="P736" s="167"/>
      <c r="T736" s="164"/>
      <c r="X736" s="162"/>
      <c r="Y736" s="168"/>
      <c r="AQ736" s="166"/>
    </row>
    <row r="737">
      <c r="D737" s="162"/>
      <c r="E737" s="163"/>
      <c r="G737" s="164"/>
      <c r="L737" s="165"/>
      <c r="M737" s="166"/>
      <c r="N737" s="166"/>
      <c r="P737" s="167"/>
      <c r="T737" s="164"/>
      <c r="X737" s="162"/>
      <c r="Y737" s="168"/>
      <c r="AQ737" s="166"/>
    </row>
    <row r="738">
      <c r="D738" s="162"/>
      <c r="E738" s="163"/>
      <c r="G738" s="164"/>
      <c r="L738" s="165"/>
      <c r="M738" s="166"/>
      <c r="N738" s="166"/>
      <c r="P738" s="167"/>
      <c r="T738" s="164"/>
      <c r="X738" s="162"/>
      <c r="Y738" s="168"/>
      <c r="AQ738" s="166"/>
    </row>
    <row r="739">
      <c r="D739" s="162"/>
      <c r="E739" s="163"/>
      <c r="G739" s="164"/>
      <c r="L739" s="165"/>
      <c r="M739" s="166"/>
      <c r="N739" s="166"/>
      <c r="P739" s="167"/>
      <c r="T739" s="164"/>
      <c r="X739" s="162"/>
      <c r="Y739" s="168"/>
      <c r="AQ739" s="166"/>
    </row>
    <row r="740">
      <c r="D740" s="162"/>
      <c r="E740" s="163"/>
      <c r="G740" s="164"/>
      <c r="L740" s="165"/>
      <c r="M740" s="166"/>
      <c r="N740" s="166"/>
      <c r="P740" s="167"/>
      <c r="T740" s="164"/>
      <c r="X740" s="162"/>
      <c r="Y740" s="168"/>
      <c r="AQ740" s="166"/>
    </row>
    <row r="741">
      <c r="D741" s="162"/>
      <c r="E741" s="163"/>
      <c r="G741" s="164"/>
      <c r="L741" s="165"/>
      <c r="M741" s="166"/>
      <c r="N741" s="166"/>
      <c r="P741" s="167"/>
      <c r="T741" s="164"/>
      <c r="X741" s="162"/>
      <c r="Y741" s="168"/>
      <c r="AQ741" s="166"/>
    </row>
    <row r="742">
      <c r="D742" s="162"/>
      <c r="E742" s="163"/>
      <c r="G742" s="164"/>
      <c r="L742" s="165"/>
      <c r="M742" s="166"/>
      <c r="N742" s="166"/>
      <c r="P742" s="167"/>
      <c r="T742" s="164"/>
      <c r="X742" s="162"/>
      <c r="Y742" s="168"/>
      <c r="AQ742" s="166"/>
    </row>
    <row r="743">
      <c r="D743" s="162"/>
      <c r="E743" s="163"/>
      <c r="G743" s="164"/>
      <c r="L743" s="165"/>
      <c r="M743" s="166"/>
      <c r="N743" s="166"/>
      <c r="P743" s="167"/>
      <c r="T743" s="164"/>
      <c r="X743" s="162"/>
      <c r="Y743" s="168"/>
      <c r="AQ743" s="166"/>
    </row>
    <row r="744">
      <c r="D744" s="162"/>
      <c r="E744" s="163"/>
      <c r="G744" s="164"/>
      <c r="L744" s="165"/>
      <c r="M744" s="166"/>
      <c r="N744" s="166"/>
      <c r="P744" s="167"/>
      <c r="T744" s="164"/>
      <c r="X744" s="162"/>
      <c r="Y744" s="168"/>
      <c r="AQ744" s="166"/>
    </row>
    <row r="745">
      <c r="D745" s="162"/>
      <c r="E745" s="163"/>
      <c r="G745" s="164"/>
      <c r="L745" s="165"/>
      <c r="M745" s="166"/>
      <c r="N745" s="166"/>
      <c r="P745" s="167"/>
      <c r="T745" s="164"/>
      <c r="X745" s="162"/>
      <c r="Y745" s="168"/>
      <c r="AQ745" s="166"/>
    </row>
    <row r="746">
      <c r="D746" s="162"/>
      <c r="E746" s="163"/>
      <c r="G746" s="164"/>
      <c r="L746" s="165"/>
      <c r="M746" s="166"/>
      <c r="N746" s="166"/>
      <c r="P746" s="167"/>
      <c r="T746" s="164"/>
      <c r="X746" s="162"/>
      <c r="Y746" s="168"/>
      <c r="AQ746" s="166"/>
    </row>
    <row r="747">
      <c r="D747" s="162"/>
      <c r="E747" s="163"/>
      <c r="G747" s="164"/>
      <c r="L747" s="165"/>
      <c r="M747" s="166"/>
      <c r="N747" s="166"/>
      <c r="P747" s="167"/>
      <c r="T747" s="164"/>
      <c r="X747" s="162"/>
      <c r="Y747" s="168"/>
      <c r="AQ747" s="166"/>
    </row>
    <row r="748">
      <c r="D748" s="162"/>
      <c r="E748" s="163"/>
      <c r="G748" s="164"/>
      <c r="L748" s="165"/>
      <c r="M748" s="166"/>
      <c r="N748" s="166"/>
      <c r="P748" s="167"/>
      <c r="T748" s="164"/>
      <c r="X748" s="162"/>
      <c r="Y748" s="168"/>
      <c r="AQ748" s="166"/>
    </row>
    <row r="749">
      <c r="D749" s="162"/>
      <c r="E749" s="163"/>
      <c r="G749" s="164"/>
      <c r="L749" s="165"/>
      <c r="M749" s="166"/>
      <c r="N749" s="166"/>
      <c r="P749" s="167"/>
      <c r="T749" s="164"/>
      <c r="X749" s="162"/>
      <c r="Y749" s="168"/>
      <c r="AQ749" s="166"/>
    </row>
    <row r="750">
      <c r="D750" s="162"/>
      <c r="E750" s="163"/>
      <c r="G750" s="164"/>
      <c r="L750" s="165"/>
      <c r="M750" s="166"/>
      <c r="N750" s="166"/>
      <c r="P750" s="167"/>
      <c r="T750" s="164"/>
      <c r="X750" s="162"/>
      <c r="Y750" s="168"/>
      <c r="AQ750" s="166"/>
    </row>
    <row r="751">
      <c r="D751" s="162"/>
      <c r="E751" s="163"/>
      <c r="G751" s="164"/>
      <c r="L751" s="165"/>
      <c r="M751" s="166"/>
      <c r="N751" s="166"/>
      <c r="P751" s="167"/>
      <c r="T751" s="164"/>
      <c r="X751" s="162"/>
      <c r="Y751" s="168"/>
      <c r="AQ751" s="166"/>
    </row>
    <row r="752">
      <c r="D752" s="162"/>
      <c r="E752" s="163"/>
      <c r="G752" s="164"/>
      <c r="L752" s="165"/>
      <c r="M752" s="166"/>
      <c r="N752" s="166"/>
      <c r="P752" s="167"/>
      <c r="T752" s="164"/>
      <c r="X752" s="162"/>
      <c r="Y752" s="168"/>
      <c r="AQ752" s="166"/>
    </row>
    <row r="753">
      <c r="D753" s="162"/>
      <c r="E753" s="163"/>
      <c r="G753" s="164"/>
      <c r="L753" s="165"/>
      <c r="M753" s="166"/>
      <c r="N753" s="166"/>
      <c r="P753" s="167"/>
      <c r="T753" s="164"/>
      <c r="X753" s="162"/>
      <c r="Y753" s="168"/>
      <c r="AQ753" s="166"/>
    </row>
    <row r="754">
      <c r="D754" s="162"/>
      <c r="E754" s="163"/>
      <c r="G754" s="164"/>
      <c r="L754" s="165"/>
      <c r="M754" s="166"/>
      <c r="N754" s="166"/>
      <c r="P754" s="167"/>
      <c r="T754" s="164"/>
      <c r="X754" s="162"/>
      <c r="Y754" s="168"/>
      <c r="AQ754" s="166"/>
    </row>
    <row r="755">
      <c r="D755" s="162"/>
      <c r="E755" s="163"/>
      <c r="G755" s="164"/>
      <c r="L755" s="165"/>
      <c r="M755" s="166"/>
      <c r="N755" s="166"/>
      <c r="P755" s="167"/>
      <c r="T755" s="164"/>
      <c r="X755" s="162"/>
      <c r="Y755" s="168"/>
      <c r="AQ755" s="166"/>
    </row>
    <row r="756">
      <c r="D756" s="162"/>
      <c r="E756" s="163"/>
      <c r="G756" s="164"/>
      <c r="L756" s="165"/>
      <c r="M756" s="166"/>
      <c r="N756" s="166"/>
      <c r="P756" s="167"/>
      <c r="T756" s="164"/>
      <c r="X756" s="162"/>
      <c r="Y756" s="168"/>
      <c r="AQ756" s="166"/>
    </row>
    <row r="757">
      <c r="D757" s="162"/>
      <c r="E757" s="163"/>
      <c r="G757" s="164"/>
      <c r="L757" s="165"/>
      <c r="M757" s="166"/>
      <c r="N757" s="166"/>
      <c r="P757" s="167"/>
      <c r="T757" s="164"/>
      <c r="X757" s="162"/>
      <c r="Y757" s="168"/>
      <c r="AQ757" s="166"/>
    </row>
    <row r="758">
      <c r="D758" s="162"/>
      <c r="E758" s="163"/>
      <c r="G758" s="164"/>
      <c r="L758" s="165"/>
      <c r="M758" s="166"/>
      <c r="N758" s="166"/>
      <c r="P758" s="167"/>
      <c r="T758" s="164"/>
      <c r="X758" s="162"/>
      <c r="Y758" s="168"/>
      <c r="AQ758" s="166"/>
    </row>
    <row r="759">
      <c r="D759" s="162"/>
      <c r="E759" s="163"/>
      <c r="G759" s="164"/>
      <c r="L759" s="165"/>
      <c r="M759" s="166"/>
      <c r="N759" s="166"/>
      <c r="P759" s="167"/>
      <c r="T759" s="164"/>
      <c r="X759" s="162"/>
      <c r="Y759" s="168"/>
      <c r="AQ759" s="166"/>
    </row>
    <row r="760">
      <c r="D760" s="162"/>
      <c r="E760" s="163"/>
      <c r="G760" s="164"/>
      <c r="L760" s="165"/>
      <c r="M760" s="166"/>
      <c r="N760" s="166"/>
      <c r="P760" s="167"/>
      <c r="T760" s="164"/>
      <c r="X760" s="162"/>
      <c r="Y760" s="168"/>
      <c r="AQ760" s="166"/>
    </row>
    <row r="761">
      <c r="D761" s="162"/>
      <c r="E761" s="163"/>
      <c r="G761" s="164"/>
      <c r="L761" s="165"/>
      <c r="M761" s="166"/>
      <c r="N761" s="166"/>
      <c r="P761" s="167"/>
      <c r="T761" s="164"/>
      <c r="X761" s="162"/>
      <c r="Y761" s="168"/>
      <c r="AQ761" s="166"/>
    </row>
    <row r="762">
      <c r="D762" s="162"/>
      <c r="E762" s="163"/>
      <c r="G762" s="164"/>
      <c r="L762" s="165"/>
      <c r="M762" s="166"/>
      <c r="N762" s="166"/>
      <c r="P762" s="167"/>
      <c r="T762" s="164"/>
      <c r="X762" s="162"/>
      <c r="Y762" s="168"/>
      <c r="AQ762" s="166"/>
    </row>
    <row r="763">
      <c r="D763" s="162"/>
      <c r="E763" s="163"/>
      <c r="G763" s="164"/>
      <c r="L763" s="165"/>
      <c r="M763" s="166"/>
      <c r="N763" s="166"/>
      <c r="P763" s="167"/>
      <c r="T763" s="164"/>
      <c r="X763" s="162"/>
      <c r="Y763" s="168"/>
      <c r="AQ763" s="166"/>
    </row>
    <row r="764">
      <c r="D764" s="162"/>
      <c r="E764" s="163"/>
      <c r="G764" s="164"/>
      <c r="L764" s="165"/>
      <c r="M764" s="166"/>
      <c r="N764" s="166"/>
      <c r="P764" s="167"/>
      <c r="T764" s="164"/>
      <c r="X764" s="162"/>
      <c r="Y764" s="168"/>
      <c r="AQ764" s="166"/>
    </row>
    <row r="765">
      <c r="D765" s="162"/>
      <c r="E765" s="163"/>
      <c r="G765" s="164"/>
      <c r="L765" s="165"/>
      <c r="M765" s="166"/>
      <c r="N765" s="166"/>
      <c r="P765" s="167"/>
      <c r="T765" s="164"/>
      <c r="X765" s="162"/>
      <c r="Y765" s="168"/>
      <c r="AQ765" s="166"/>
    </row>
    <row r="766">
      <c r="D766" s="162"/>
      <c r="E766" s="163"/>
      <c r="G766" s="164"/>
      <c r="L766" s="165"/>
      <c r="M766" s="166"/>
      <c r="N766" s="166"/>
      <c r="P766" s="167"/>
      <c r="T766" s="164"/>
      <c r="X766" s="162"/>
      <c r="Y766" s="168"/>
      <c r="AQ766" s="166"/>
    </row>
    <row r="767">
      <c r="D767" s="162"/>
      <c r="E767" s="163"/>
      <c r="G767" s="164"/>
      <c r="L767" s="165"/>
      <c r="M767" s="166"/>
      <c r="N767" s="166"/>
      <c r="P767" s="167"/>
      <c r="T767" s="164"/>
      <c r="X767" s="162"/>
      <c r="Y767" s="168"/>
      <c r="AQ767" s="166"/>
    </row>
    <row r="768">
      <c r="D768" s="162"/>
      <c r="E768" s="163"/>
      <c r="G768" s="164"/>
      <c r="L768" s="165"/>
      <c r="M768" s="166"/>
      <c r="N768" s="166"/>
      <c r="P768" s="167"/>
      <c r="T768" s="164"/>
      <c r="X768" s="162"/>
      <c r="Y768" s="168"/>
      <c r="AQ768" s="166"/>
    </row>
    <row r="769">
      <c r="D769" s="162"/>
      <c r="E769" s="163"/>
      <c r="G769" s="164"/>
      <c r="L769" s="165"/>
      <c r="M769" s="166"/>
      <c r="N769" s="166"/>
      <c r="P769" s="167"/>
      <c r="T769" s="164"/>
      <c r="X769" s="162"/>
      <c r="Y769" s="168"/>
      <c r="AQ769" s="166"/>
    </row>
    <row r="770">
      <c r="D770" s="162"/>
      <c r="E770" s="163"/>
      <c r="G770" s="164"/>
      <c r="L770" s="165"/>
      <c r="M770" s="166"/>
      <c r="N770" s="166"/>
      <c r="P770" s="167"/>
      <c r="T770" s="164"/>
      <c r="X770" s="162"/>
      <c r="Y770" s="168"/>
      <c r="AQ770" s="166"/>
    </row>
    <row r="771">
      <c r="D771" s="162"/>
      <c r="E771" s="163"/>
      <c r="G771" s="164"/>
      <c r="L771" s="165"/>
      <c r="M771" s="166"/>
      <c r="N771" s="166"/>
      <c r="P771" s="167"/>
      <c r="T771" s="164"/>
      <c r="X771" s="162"/>
      <c r="Y771" s="168"/>
      <c r="AQ771" s="166"/>
    </row>
    <row r="772">
      <c r="D772" s="162"/>
      <c r="E772" s="163"/>
      <c r="G772" s="164"/>
      <c r="L772" s="165"/>
      <c r="M772" s="166"/>
      <c r="N772" s="166"/>
      <c r="P772" s="167"/>
      <c r="T772" s="164"/>
      <c r="X772" s="162"/>
      <c r="Y772" s="168"/>
      <c r="AQ772" s="166"/>
    </row>
    <row r="773">
      <c r="D773" s="162"/>
      <c r="E773" s="163"/>
      <c r="G773" s="164"/>
      <c r="L773" s="165"/>
      <c r="M773" s="166"/>
      <c r="N773" s="166"/>
      <c r="P773" s="167"/>
      <c r="T773" s="164"/>
      <c r="X773" s="162"/>
      <c r="Y773" s="168"/>
      <c r="AQ773" s="166"/>
    </row>
    <row r="774">
      <c r="D774" s="162"/>
      <c r="E774" s="163"/>
      <c r="G774" s="164"/>
      <c r="L774" s="165"/>
      <c r="M774" s="166"/>
      <c r="N774" s="166"/>
      <c r="P774" s="167"/>
      <c r="T774" s="164"/>
      <c r="X774" s="162"/>
      <c r="Y774" s="168"/>
      <c r="AQ774" s="166"/>
    </row>
    <row r="775">
      <c r="D775" s="162"/>
      <c r="E775" s="163"/>
      <c r="G775" s="164"/>
      <c r="L775" s="165"/>
      <c r="M775" s="166"/>
      <c r="N775" s="166"/>
      <c r="P775" s="167"/>
      <c r="T775" s="164"/>
      <c r="X775" s="162"/>
      <c r="Y775" s="168"/>
      <c r="AQ775" s="166"/>
    </row>
    <row r="776">
      <c r="D776" s="162"/>
      <c r="E776" s="163"/>
      <c r="G776" s="164"/>
      <c r="L776" s="165"/>
      <c r="M776" s="166"/>
      <c r="N776" s="166"/>
      <c r="P776" s="167"/>
      <c r="T776" s="164"/>
      <c r="X776" s="162"/>
      <c r="Y776" s="168"/>
      <c r="AQ776" s="166"/>
    </row>
    <row r="777">
      <c r="D777" s="162"/>
      <c r="E777" s="163"/>
      <c r="G777" s="164"/>
      <c r="L777" s="165"/>
      <c r="M777" s="166"/>
      <c r="N777" s="166"/>
      <c r="P777" s="167"/>
      <c r="T777" s="164"/>
      <c r="X777" s="162"/>
      <c r="Y777" s="168"/>
      <c r="AQ777" s="166"/>
    </row>
    <row r="778">
      <c r="D778" s="162"/>
      <c r="E778" s="163"/>
      <c r="G778" s="164"/>
      <c r="L778" s="165"/>
      <c r="M778" s="166"/>
      <c r="N778" s="166"/>
      <c r="P778" s="167"/>
      <c r="T778" s="164"/>
      <c r="X778" s="162"/>
      <c r="Y778" s="168"/>
      <c r="AQ778" s="166"/>
    </row>
    <row r="779">
      <c r="D779" s="162"/>
      <c r="E779" s="163"/>
      <c r="G779" s="164"/>
      <c r="L779" s="165"/>
      <c r="M779" s="166"/>
      <c r="N779" s="166"/>
      <c r="P779" s="167"/>
      <c r="T779" s="164"/>
      <c r="X779" s="162"/>
      <c r="Y779" s="168"/>
      <c r="AQ779" s="166"/>
    </row>
    <row r="780">
      <c r="D780" s="162"/>
      <c r="E780" s="163"/>
      <c r="G780" s="164"/>
      <c r="L780" s="165"/>
      <c r="M780" s="166"/>
      <c r="N780" s="166"/>
      <c r="P780" s="167"/>
      <c r="T780" s="164"/>
      <c r="X780" s="162"/>
      <c r="Y780" s="168"/>
      <c r="AQ780" s="166"/>
    </row>
    <row r="781">
      <c r="D781" s="162"/>
      <c r="E781" s="163"/>
      <c r="G781" s="164"/>
      <c r="L781" s="165"/>
      <c r="M781" s="166"/>
      <c r="N781" s="166"/>
      <c r="P781" s="167"/>
      <c r="T781" s="164"/>
      <c r="X781" s="162"/>
      <c r="Y781" s="168"/>
      <c r="AQ781" s="166"/>
    </row>
    <row r="782">
      <c r="D782" s="162"/>
      <c r="E782" s="163"/>
      <c r="G782" s="164"/>
      <c r="L782" s="165"/>
      <c r="M782" s="166"/>
      <c r="N782" s="166"/>
      <c r="P782" s="167"/>
      <c r="T782" s="164"/>
      <c r="X782" s="162"/>
      <c r="Y782" s="168"/>
      <c r="AQ782" s="166"/>
    </row>
    <row r="783">
      <c r="D783" s="162"/>
      <c r="E783" s="163"/>
      <c r="G783" s="164"/>
      <c r="L783" s="165"/>
      <c r="M783" s="166"/>
      <c r="N783" s="166"/>
      <c r="P783" s="167"/>
      <c r="T783" s="164"/>
      <c r="X783" s="162"/>
      <c r="Y783" s="168"/>
      <c r="AQ783" s="166"/>
    </row>
    <row r="784">
      <c r="D784" s="162"/>
      <c r="E784" s="163"/>
      <c r="G784" s="164"/>
      <c r="L784" s="165"/>
      <c r="M784" s="166"/>
      <c r="N784" s="166"/>
      <c r="P784" s="167"/>
      <c r="T784" s="164"/>
      <c r="X784" s="162"/>
      <c r="Y784" s="168"/>
      <c r="AQ784" s="166"/>
    </row>
    <row r="785">
      <c r="D785" s="162"/>
      <c r="E785" s="163"/>
      <c r="G785" s="164"/>
      <c r="L785" s="165"/>
      <c r="M785" s="166"/>
      <c r="N785" s="166"/>
      <c r="P785" s="167"/>
      <c r="T785" s="164"/>
      <c r="X785" s="162"/>
      <c r="Y785" s="168"/>
      <c r="AQ785" s="166"/>
    </row>
    <row r="786">
      <c r="D786" s="162"/>
      <c r="E786" s="163"/>
      <c r="G786" s="164"/>
      <c r="L786" s="165"/>
      <c r="M786" s="166"/>
      <c r="N786" s="166"/>
      <c r="P786" s="167"/>
      <c r="T786" s="164"/>
      <c r="X786" s="162"/>
      <c r="Y786" s="168"/>
      <c r="AQ786" s="166"/>
    </row>
    <row r="787">
      <c r="D787" s="162"/>
      <c r="E787" s="163"/>
      <c r="G787" s="164"/>
      <c r="L787" s="165"/>
      <c r="M787" s="166"/>
      <c r="N787" s="166"/>
      <c r="P787" s="167"/>
      <c r="T787" s="164"/>
      <c r="X787" s="162"/>
      <c r="Y787" s="168"/>
      <c r="AQ787" s="166"/>
    </row>
    <row r="788">
      <c r="D788" s="162"/>
      <c r="E788" s="163"/>
      <c r="G788" s="164"/>
      <c r="L788" s="165"/>
      <c r="M788" s="166"/>
      <c r="N788" s="166"/>
      <c r="P788" s="167"/>
      <c r="T788" s="164"/>
      <c r="X788" s="162"/>
      <c r="Y788" s="168"/>
      <c r="AQ788" s="166"/>
    </row>
    <row r="789">
      <c r="D789" s="162"/>
      <c r="E789" s="163"/>
      <c r="G789" s="164"/>
      <c r="L789" s="165"/>
      <c r="M789" s="166"/>
      <c r="N789" s="166"/>
      <c r="P789" s="167"/>
      <c r="T789" s="164"/>
      <c r="X789" s="162"/>
      <c r="Y789" s="168"/>
      <c r="AQ789" s="166"/>
    </row>
    <row r="790">
      <c r="D790" s="162"/>
      <c r="E790" s="163"/>
      <c r="G790" s="164"/>
      <c r="L790" s="165"/>
      <c r="M790" s="166"/>
      <c r="N790" s="166"/>
      <c r="P790" s="167"/>
      <c r="T790" s="164"/>
      <c r="X790" s="162"/>
      <c r="Y790" s="168"/>
      <c r="AQ790" s="166"/>
    </row>
    <row r="791">
      <c r="D791" s="162"/>
      <c r="E791" s="163"/>
      <c r="G791" s="164"/>
      <c r="L791" s="165"/>
      <c r="M791" s="166"/>
      <c r="N791" s="166"/>
      <c r="P791" s="167"/>
      <c r="T791" s="164"/>
      <c r="X791" s="162"/>
      <c r="Y791" s="168"/>
      <c r="AQ791" s="166"/>
    </row>
    <row r="792">
      <c r="D792" s="162"/>
      <c r="E792" s="163"/>
      <c r="G792" s="164"/>
      <c r="L792" s="165"/>
      <c r="M792" s="166"/>
      <c r="N792" s="166"/>
      <c r="P792" s="167"/>
      <c r="T792" s="164"/>
      <c r="X792" s="162"/>
      <c r="Y792" s="168"/>
      <c r="AQ792" s="166"/>
    </row>
    <row r="793">
      <c r="D793" s="162"/>
      <c r="E793" s="163"/>
      <c r="G793" s="164"/>
      <c r="L793" s="165"/>
      <c r="M793" s="166"/>
      <c r="N793" s="166"/>
      <c r="P793" s="167"/>
      <c r="T793" s="164"/>
      <c r="X793" s="162"/>
      <c r="Y793" s="168"/>
      <c r="AQ793" s="166"/>
    </row>
    <row r="794">
      <c r="D794" s="162"/>
      <c r="E794" s="163"/>
      <c r="G794" s="164"/>
      <c r="L794" s="165"/>
      <c r="M794" s="166"/>
      <c r="N794" s="166"/>
      <c r="P794" s="167"/>
      <c r="T794" s="164"/>
      <c r="X794" s="162"/>
      <c r="Y794" s="168"/>
      <c r="AQ794" s="166"/>
    </row>
    <row r="795">
      <c r="D795" s="162"/>
      <c r="E795" s="163"/>
      <c r="G795" s="164"/>
      <c r="L795" s="165"/>
      <c r="M795" s="166"/>
      <c r="N795" s="166"/>
      <c r="P795" s="167"/>
      <c r="T795" s="164"/>
      <c r="X795" s="162"/>
      <c r="Y795" s="168"/>
      <c r="AQ795" s="166"/>
    </row>
    <row r="796">
      <c r="D796" s="162"/>
      <c r="E796" s="163"/>
      <c r="G796" s="164"/>
      <c r="L796" s="165"/>
      <c r="M796" s="166"/>
      <c r="N796" s="166"/>
      <c r="P796" s="167"/>
      <c r="T796" s="164"/>
      <c r="X796" s="162"/>
      <c r="Y796" s="168"/>
      <c r="AQ796" s="166"/>
    </row>
    <row r="797">
      <c r="D797" s="162"/>
      <c r="E797" s="163"/>
      <c r="G797" s="164"/>
      <c r="L797" s="165"/>
      <c r="M797" s="166"/>
      <c r="N797" s="166"/>
      <c r="P797" s="167"/>
      <c r="T797" s="164"/>
      <c r="X797" s="162"/>
      <c r="Y797" s="168"/>
      <c r="AQ797" s="166"/>
    </row>
    <row r="798">
      <c r="D798" s="162"/>
      <c r="E798" s="163"/>
      <c r="G798" s="164"/>
      <c r="L798" s="165"/>
      <c r="M798" s="166"/>
      <c r="N798" s="166"/>
      <c r="P798" s="167"/>
      <c r="T798" s="164"/>
      <c r="X798" s="162"/>
      <c r="Y798" s="168"/>
      <c r="AQ798" s="166"/>
    </row>
    <row r="799">
      <c r="D799" s="162"/>
      <c r="E799" s="163"/>
      <c r="G799" s="164"/>
      <c r="L799" s="165"/>
      <c r="M799" s="166"/>
      <c r="N799" s="166"/>
      <c r="P799" s="167"/>
      <c r="T799" s="164"/>
      <c r="X799" s="162"/>
      <c r="Y799" s="168"/>
      <c r="AQ799" s="166"/>
    </row>
    <row r="800">
      <c r="D800" s="162"/>
      <c r="E800" s="163"/>
      <c r="G800" s="164"/>
      <c r="L800" s="165"/>
      <c r="M800" s="166"/>
      <c r="N800" s="166"/>
      <c r="P800" s="167"/>
      <c r="T800" s="164"/>
      <c r="X800" s="162"/>
      <c r="Y800" s="168"/>
      <c r="AQ800" s="166"/>
    </row>
    <row r="801">
      <c r="D801" s="162"/>
      <c r="E801" s="163"/>
      <c r="G801" s="164"/>
      <c r="L801" s="165"/>
      <c r="M801" s="166"/>
      <c r="N801" s="166"/>
      <c r="P801" s="167"/>
      <c r="T801" s="164"/>
      <c r="X801" s="162"/>
      <c r="Y801" s="168"/>
      <c r="AQ801" s="166"/>
    </row>
    <row r="802">
      <c r="D802" s="162"/>
      <c r="E802" s="163"/>
      <c r="G802" s="164"/>
      <c r="L802" s="165"/>
      <c r="M802" s="166"/>
      <c r="N802" s="166"/>
      <c r="P802" s="167"/>
      <c r="T802" s="164"/>
      <c r="X802" s="162"/>
      <c r="Y802" s="168"/>
      <c r="AQ802" s="166"/>
    </row>
    <row r="803">
      <c r="D803" s="162"/>
      <c r="E803" s="163"/>
      <c r="G803" s="164"/>
      <c r="L803" s="165"/>
      <c r="M803" s="166"/>
      <c r="N803" s="166"/>
      <c r="P803" s="167"/>
      <c r="T803" s="164"/>
      <c r="X803" s="162"/>
      <c r="Y803" s="168"/>
      <c r="AQ803" s="166"/>
    </row>
    <row r="804">
      <c r="D804" s="162"/>
      <c r="E804" s="163"/>
      <c r="G804" s="164"/>
      <c r="L804" s="165"/>
      <c r="M804" s="166"/>
      <c r="N804" s="166"/>
      <c r="P804" s="167"/>
      <c r="T804" s="164"/>
      <c r="X804" s="162"/>
      <c r="Y804" s="168"/>
      <c r="AQ804" s="166"/>
    </row>
    <row r="805">
      <c r="D805" s="162"/>
      <c r="E805" s="163"/>
      <c r="G805" s="164"/>
      <c r="L805" s="165"/>
      <c r="M805" s="166"/>
      <c r="N805" s="166"/>
      <c r="P805" s="167"/>
      <c r="T805" s="164"/>
      <c r="X805" s="162"/>
      <c r="Y805" s="168"/>
      <c r="AQ805" s="166"/>
    </row>
    <row r="806">
      <c r="D806" s="162"/>
      <c r="E806" s="163"/>
      <c r="G806" s="164"/>
      <c r="L806" s="165"/>
      <c r="M806" s="166"/>
      <c r="N806" s="166"/>
      <c r="P806" s="167"/>
      <c r="T806" s="164"/>
      <c r="X806" s="162"/>
      <c r="Y806" s="168"/>
      <c r="AQ806" s="166"/>
    </row>
    <row r="807">
      <c r="D807" s="162"/>
      <c r="E807" s="163"/>
      <c r="G807" s="164"/>
      <c r="L807" s="165"/>
      <c r="M807" s="166"/>
      <c r="N807" s="166"/>
      <c r="P807" s="167"/>
      <c r="T807" s="164"/>
      <c r="X807" s="162"/>
      <c r="Y807" s="168"/>
      <c r="AQ807" s="166"/>
    </row>
    <row r="808">
      <c r="D808" s="162"/>
      <c r="E808" s="163"/>
      <c r="G808" s="164"/>
      <c r="L808" s="165"/>
      <c r="M808" s="166"/>
      <c r="N808" s="166"/>
      <c r="P808" s="167"/>
      <c r="T808" s="164"/>
      <c r="X808" s="162"/>
      <c r="Y808" s="168"/>
      <c r="AQ808" s="166"/>
    </row>
    <row r="809">
      <c r="D809" s="162"/>
      <c r="E809" s="163"/>
      <c r="G809" s="164"/>
      <c r="L809" s="165"/>
      <c r="M809" s="166"/>
      <c r="N809" s="166"/>
      <c r="P809" s="167"/>
      <c r="T809" s="164"/>
      <c r="X809" s="162"/>
      <c r="Y809" s="168"/>
      <c r="AQ809" s="166"/>
    </row>
    <row r="810">
      <c r="D810" s="162"/>
      <c r="E810" s="163"/>
      <c r="G810" s="164"/>
      <c r="L810" s="165"/>
      <c r="M810" s="166"/>
      <c r="N810" s="166"/>
      <c r="P810" s="167"/>
      <c r="T810" s="164"/>
      <c r="X810" s="162"/>
      <c r="Y810" s="168"/>
      <c r="AQ810" s="166"/>
    </row>
    <row r="811">
      <c r="D811" s="162"/>
      <c r="E811" s="163"/>
      <c r="G811" s="164"/>
      <c r="L811" s="165"/>
      <c r="M811" s="166"/>
      <c r="N811" s="166"/>
      <c r="P811" s="167"/>
      <c r="T811" s="164"/>
      <c r="X811" s="162"/>
      <c r="Y811" s="168"/>
      <c r="AQ811" s="166"/>
    </row>
    <row r="812">
      <c r="D812" s="162"/>
      <c r="E812" s="163"/>
      <c r="G812" s="164"/>
      <c r="L812" s="165"/>
      <c r="M812" s="166"/>
      <c r="N812" s="166"/>
      <c r="P812" s="167"/>
      <c r="T812" s="164"/>
      <c r="X812" s="162"/>
      <c r="Y812" s="168"/>
      <c r="AQ812" s="166"/>
    </row>
    <row r="813">
      <c r="D813" s="162"/>
      <c r="E813" s="163"/>
      <c r="G813" s="164"/>
      <c r="L813" s="165"/>
      <c r="M813" s="166"/>
      <c r="N813" s="166"/>
      <c r="P813" s="167"/>
      <c r="T813" s="164"/>
      <c r="X813" s="162"/>
      <c r="Y813" s="168"/>
      <c r="AQ813" s="166"/>
    </row>
    <row r="814">
      <c r="D814" s="162"/>
      <c r="E814" s="163"/>
      <c r="G814" s="164"/>
      <c r="L814" s="165"/>
      <c r="M814" s="166"/>
      <c r="N814" s="166"/>
      <c r="P814" s="167"/>
      <c r="T814" s="164"/>
      <c r="X814" s="162"/>
      <c r="Y814" s="168"/>
      <c r="AQ814" s="166"/>
    </row>
    <row r="815">
      <c r="D815" s="162"/>
      <c r="E815" s="163"/>
      <c r="G815" s="164"/>
      <c r="L815" s="165"/>
      <c r="M815" s="166"/>
      <c r="N815" s="166"/>
      <c r="P815" s="167"/>
      <c r="T815" s="164"/>
      <c r="X815" s="162"/>
      <c r="Y815" s="168"/>
      <c r="AQ815" s="166"/>
    </row>
    <row r="816">
      <c r="D816" s="162"/>
      <c r="E816" s="163"/>
      <c r="G816" s="164"/>
      <c r="L816" s="165"/>
      <c r="M816" s="166"/>
      <c r="N816" s="166"/>
      <c r="P816" s="167"/>
      <c r="T816" s="164"/>
      <c r="X816" s="162"/>
      <c r="Y816" s="168"/>
      <c r="AQ816" s="166"/>
    </row>
    <row r="817">
      <c r="D817" s="162"/>
      <c r="E817" s="163"/>
      <c r="G817" s="164"/>
      <c r="L817" s="165"/>
      <c r="M817" s="166"/>
      <c r="N817" s="166"/>
      <c r="P817" s="167"/>
      <c r="T817" s="164"/>
      <c r="X817" s="162"/>
      <c r="Y817" s="168"/>
      <c r="AQ817" s="166"/>
    </row>
    <row r="818">
      <c r="D818" s="162"/>
      <c r="E818" s="163"/>
      <c r="G818" s="164"/>
      <c r="L818" s="165"/>
      <c r="M818" s="166"/>
      <c r="N818" s="166"/>
      <c r="P818" s="167"/>
      <c r="T818" s="164"/>
      <c r="X818" s="162"/>
      <c r="Y818" s="168"/>
      <c r="AQ818" s="166"/>
    </row>
    <row r="819">
      <c r="D819" s="162"/>
      <c r="E819" s="163"/>
      <c r="G819" s="164"/>
      <c r="L819" s="165"/>
      <c r="M819" s="166"/>
      <c r="N819" s="166"/>
      <c r="P819" s="167"/>
      <c r="T819" s="164"/>
      <c r="X819" s="162"/>
      <c r="Y819" s="168"/>
      <c r="AQ819" s="166"/>
    </row>
    <row r="820">
      <c r="D820" s="162"/>
      <c r="E820" s="163"/>
      <c r="G820" s="164"/>
      <c r="L820" s="165"/>
      <c r="M820" s="166"/>
      <c r="N820" s="166"/>
      <c r="P820" s="167"/>
      <c r="T820" s="164"/>
      <c r="X820" s="162"/>
      <c r="Y820" s="168"/>
      <c r="AQ820" s="166"/>
    </row>
    <row r="821">
      <c r="D821" s="162"/>
      <c r="E821" s="163"/>
      <c r="G821" s="164"/>
      <c r="L821" s="165"/>
      <c r="M821" s="166"/>
      <c r="N821" s="166"/>
      <c r="P821" s="167"/>
      <c r="T821" s="164"/>
      <c r="X821" s="162"/>
      <c r="Y821" s="168"/>
      <c r="AQ821" s="166"/>
    </row>
    <row r="822">
      <c r="D822" s="162"/>
      <c r="E822" s="163"/>
      <c r="G822" s="164"/>
      <c r="L822" s="165"/>
      <c r="M822" s="166"/>
      <c r="N822" s="166"/>
      <c r="P822" s="167"/>
      <c r="T822" s="164"/>
      <c r="X822" s="162"/>
      <c r="Y822" s="168"/>
      <c r="AQ822" s="166"/>
    </row>
    <row r="823">
      <c r="D823" s="162"/>
      <c r="E823" s="163"/>
      <c r="G823" s="164"/>
      <c r="L823" s="165"/>
      <c r="M823" s="166"/>
      <c r="N823" s="166"/>
      <c r="P823" s="167"/>
      <c r="T823" s="164"/>
      <c r="X823" s="162"/>
      <c r="Y823" s="168"/>
      <c r="AQ823" s="166"/>
    </row>
    <row r="824">
      <c r="D824" s="162"/>
      <c r="E824" s="163"/>
      <c r="G824" s="164"/>
      <c r="L824" s="165"/>
      <c r="M824" s="166"/>
      <c r="N824" s="166"/>
      <c r="P824" s="167"/>
      <c r="T824" s="164"/>
      <c r="X824" s="162"/>
      <c r="Y824" s="168"/>
      <c r="AQ824" s="166"/>
    </row>
    <row r="825">
      <c r="D825" s="162"/>
      <c r="E825" s="163"/>
      <c r="G825" s="164"/>
      <c r="L825" s="165"/>
      <c r="M825" s="166"/>
      <c r="N825" s="166"/>
      <c r="P825" s="167"/>
      <c r="T825" s="164"/>
      <c r="X825" s="162"/>
      <c r="Y825" s="168"/>
      <c r="AQ825" s="166"/>
    </row>
    <row r="826">
      <c r="D826" s="162"/>
      <c r="E826" s="163"/>
      <c r="G826" s="164"/>
      <c r="L826" s="165"/>
      <c r="M826" s="166"/>
      <c r="N826" s="166"/>
      <c r="P826" s="167"/>
      <c r="T826" s="164"/>
      <c r="X826" s="162"/>
      <c r="Y826" s="168"/>
      <c r="AQ826" s="166"/>
    </row>
    <row r="827">
      <c r="D827" s="162"/>
      <c r="E827" s="163"/>
      <c r="G827" s="164"/>
      <c r="L827" s="165"/>
      <c r="M827" s="166"/>
      <c r="N827" s="166"/>
      <c r="P827" s="167"/>
      <c r="T827" s="164"/>
      <c r="X827" s="162"/>
      <c r="Y827" s="168"/>
      <c r="AQ827" s="166"/>
    </row>
    <row r="828">
      <c r="D828" s="162"/>
      <c r="E828" s="163"/>
      <c r="G828" s="164"/>
      <c r="L828" s="165"/>
      <c r="M828" s="166"/>
      <c r="N828" s="166"/>
      <c r="P828" s="167"/>
      <c r="T828" s="164"/>
      <c r="X828" s="162"/>
      <c r="Y828" s="168"/>
      <c r="AQ828" s="166"/>
    </row>
    <row r="829">
      <c r="D829" s="162"/>
      <c r="E829" s="163"/>
      <c r="G829" s="164"/>
      <c r="L829" s="165"/>
      <c r="M829" s="166"/>
      <c r="N829" s="166"/>
      <c r="P829" s="167"/>
      <c r="T829" s="164"/>
      <c r="X829" s="162"/>
      <c r="Y829" s="168"/>
      <c r="AQ829" s="166"/>
    </row>
    <row r="830">
      <c r="D830" s="162"/>
      <c r="E830" s="163"/>
      <c r="G830" s="164"/>
      <c r="L830" s="165"/>
      <c r="M830" s="166"/>
      <c r="N830" s="166"/>
      <c r="P830" s="167"/>
      <c r="T830" s="164"/>
      <c r="X830" s="162"/>
      <c r="Y830" s="168"/>
      <c r="AQ830" s="166"/>
    </row>
    <row r="831">
      <c r="D831" s="162"/>
      <c r="E831" s="163"/>
      <c r="G831" s="164"/>
      <c r="L831" s="165"/>
      <c r="M831" s="166"/>
      <c r="N831" s="166"/>
      <c r="P831" s="167"/>
      <c r="T831" s="164"/>
      <c r="X831" s="162"/>
      <c r="Y831" s="168"/>
      <c r="AQ831" s="166"/>
    </row>
    <row r="832">
      <c r="D832" s="162"/>
      <c r="E832" s="163"/>
      <c r="G832" s="164"/>
      <c r="L832" s="165"/>
      <c r="M832" s="166"/>
      <c r="N832" s="166"/>
      <c r="P832" s="167"/>
      <c r="T832" s="164"/>
      <c r="X832" s="162"/>
      <c r="Y832" s="168"/>
      <c r="AQ832" s="166"/>
    </row>
    <row r="833">
      <c r="D833" s="162"/>
      <c r="E833" s="163"/>
      <c r="G833" s="164"/>
      <c r="L833" s="165"/>
      <c r="M833" s="166"/>
      <c r="N833" s="166"/>
      <c r="P833" s="167"/>
      <c r="T833" s="164"/>
      <c r="X833" s="162"/>
      <c r="Y833" s="168"/>
      <c r="AQ833" s="166"/>
    </row>
    <row r="834">
      <c r="D834" s="162"/>
      <c r="E834" s="163"/>
      <c r="G834" s="164"/>
      <c r="L834" s="165"/>
      <c r="M834" s="166"/>
      <c r="N834" s="166"/>
      <c r="P834" s="167"/>
      <c r="T834" s="164"/>
      <c r="X834" s="162"/>
      <c r="Y834" s="168"/>
      <c r="AQ834" s="166"/>
    </row>
    <row r="835">
      <c r="D835" s="162"/>
      <c r="E835" s="163"/>
      <c r="G835" s="164"/>
      <c r="L835" s="165"/>
      <c r="M835" s="166"/>
      <c r="N835" s="166"/>
      <c r="P835" s="167"/>
      <c r="T835" s="164"/>
      <c r="X835" s="162"/>
      <c r="Y835" s="168"/>
      <c r="AQ835" s="166"/>
    </row>
    <row r="836">
      <c r="D836" s="162"/>
      <c r="E836" s="163"/>
      <c r="G836" s="164"/>
      <c r="L836" s="165"/>
      <c r="M836" s="166"/>
      <c r="N836" s="166"/>
      <c r="P836" s="167"/>
      <c r="T836" s="164"/>
      <c r="X836" s="162"/>
      <c r="Y836" s="168"/>
      <c r="AQ836" s="166"/>
    </row>
    <row r="837">
      <c r="D837" s="162"/>
      <c r="E837" s="163"/>
      <c r="G837" s="164"/>
      <c r="L837" s="165"/>
      <c r="M837" s="166"/>
      <c r="N837" s="166"/>
      <c r="P837" s="167"/>
      <c r="T837" s="164"/>
      <c r="X837" s="162"/>
      <c r="Y837" s="168"/>
      <c r="AQ837" s="166"/>
    </row>
    <row r="838">
      <c r="D838" s="162"/>
      <c r="E838" s="163"/>
      <c r="G838" s="164"/>
      <c r="L838" s="165"/>
      <c r="M838" s="166"/>
      <c r="N838" s="166"/>
      <c r="P838" s="167"/>
      <c r="T838" s="164"/>
      <c r="X838" s="162"/>
      <c r="Y838" s="168"/>
      <c r="AQ838" s="166"/>
    </row>
    <row r="839">
      <c r="D839" s="162"/>
      <c r="E839" s="163"/>
      <c r="G839" s="164"/>
      <c r="L839" s="165"/>
      <c r="M839" s="166"/>
      <c r="N839" s="166"/>
      <c r="P839" s="167"/>
      <c r="T839" s="164"/>
      <c r="X839" s="162"/>
      <c r="Y839" s="168"/>
      <c r="AQ839" s="166"/>
    </row>
    <row r="840">
      <c r="D840" s="162"/>
      <c r="E840" s="163"/>
      <c r="G840" s="164"/>
      <c r="L840" s="165"/>
      <c r="M840" s="166"/>
      <c r="N840" s="166"/>
      <c r="P840" s="167"/>
      <c r="T840" s="164"/>
      <c r="X840" s="162"/>
      <c r="Y840" s="168"/>
      <c r="AQ840" s="166"/>
    </row>
    <row r="841">
      <c r="D841" s="162"/>
      <c r="E841" s="163"/>
      <c r="G841" s="164"/>
      <c r="L841" s="165"/>
      <c r="M841" s="166"/>
      <c r="N841" s="166"/>
      <c r="P841" s="167"/>
      <c r="T841" s="164"/>
      <c r="X841" s="162"/>
      <c r="Y841" s="168"/>
      <c r="AQ841" s="166"/>
    </row>
    <row r="842">
      <c r="D842" s="162"/>
      <c r="E842" s="163"/>
      <c r="G842" s="164"/>
      <c r="L842" s="165"/>
      <c r="M842" s="166"/>
      <c r="N842" s="166"/>
      <c r="P842" s="167"/>
      <c r="T842" s="164"/>
      <c r="X842" s="162"/>
      <c r="Y842" s="168"/>
      <c r="AQ842" s="166"/>
    </row>
    <row r="843">
      <c r="D843" s="162"/>
      <c r="E843" s="163"/>
      <c r="G843" s="164"/>
      <c r="L843" s="165"/>
      <c r="M843" s="166"/>
      <c r="N843" s="166"/>
      <c r="P843" s="167"/>
      <c r="T843" s="164"/>
      <c r="X843" s="162"/>
      <c r="Y843" s="168"/>
      <c r="AQ843" s="166"/>
    </row>
    <row r="844">
      <c r="D844" s="162"/>
      <c r="E844" s="163"/>
      <c r="G844" s="164"/>
      <c r="L844" s="165"/>
      <c r="M844" s="166"/>
      <c r="N844" s="166"/>
      <c r="P844" s="167"/>
      <c r="T844" s="164"/>
      <c r="X844" s="162"/>
      <c r="Y844" s="168"/>
      <c r="AQ844" s="166"/>
    </row>
    <row r="845">
      <c r="D845" s="162"/>
      <c r="E845" s="163"/>
      <c r="G845" s="164"/>
      <c r="L845" s="165"/>
      <c r="M845" s="166"/>
      <c r="N845" s="166"/>
      <c r="P845" s="167"/>
      <c r="T845" s="164"/>
      <c r="X845" s="162"/>
      <c r="Y845" s="168"/>
      <c r="AQ845" s="166"/>
    </row>
    <row r="846">
      <c r="D846" s="162"/>
      <c r="E846" s="163"/>
      <c r="G846" s="164"/>
      <c r="L846" s="165"/>
      <c r="M846" s="166"/>
      <c r="N846" s="166"/>
      <c r="P846" s="167"/>
      <c r="T846" s="164"/>
      <c r="X846" s="162"/>
      <c r="Y846" s="168"/>
      <c r="AQ846" s="166"/>
    </row>
    <row r="847">
      <c r="D847" s="162"/>
      <c r="E847" s="163"/>
      <c r="G847" s="164"/>
      <c r="L847" s="165"/>
      <c r="M847" s="166"/>
      <c r="N847" s="166"/>
      <c r="P847" s="167"/>
      <c r="T847" s="164"/>
      <c r="X847" s="162"/>
      <c r="Y847" s="168"/>
      <c r="AQ847" s="166"/>
    </row>
    <row r="848">
      <c r="D848" s="162"/>
      <c r="E848" s="163"/>
      <c r="G848" s="164"/>
      <c r="L848" s="165"/>
      <c r="M848" s="166"/>
      <c r="N848" s="166"/>
      <c r="P848" s="167"/>
      <c r="T848" s="164"/>
      <c r="X848" s="162"/>
      <c r="Y848" s="168"/>
      <c r="AQ848" s="166"/>
    </row>
    <row r="849">
      <c r="D849" s="162"/>
      <c r="E849" s="163"/>
      <c r="G849" s="164"/>
      <c r="L849" s="165"/>
      <c r="M849" s="166"/>
      <c r="N849" s="166"/>
      <c r="P849" s="167"/>
      <c r="T849" s="164"/>
      <c r="X849" s="162"/>
      <c r="Y849" s="168"/>
      <c r="AQ849" s="166"/>
    </row>
    <row r="850">
      <c r="D850" s="162"/>
      <c r="E850" s="163"/>
      <c r="G850" s="164"/>
      <c r="L850" s="165"/>
      <c r="M850" s="166"/>
      <c r="N850" s="166"/>
      <c r="P850" s="167"/>
      <c r="T850" s="164"/>
      <c r="X850" s="162"/>
      <c r="Y850" s="168"/>
      <c r="AQ850" s="166"/>
    </row>
    <row r="851">
      <c r="D851" s="162"/>
      <c r="E851" s="163"/>
      <c r="G851" s="164"/>
      <c r="L851" s="165"/>
      <c r="M851" s="166"/>
      <c r="N851" s="166"/>
      <c r="P851" s="167"/>
      <c r="T851" s="164"/>
      <c r="X851" s="162"/>
      <c r="Y851" s="168"/>
      <c r="AQ851" s="166"/>
    </row>
    <row r="852">
      <c r="D852" s="162"/>
      <c r="E852" s="163"/>
      <c r="G852" s="164"/>
      <c r="L852" s="165"/>
      <c r="M852" s="166"/>
      <c r="N852" s="166"/>
      <c r="P852" s="167"/>
      <c r="T852" s="164"/>
      <c r="X852" s="162"/>
      <c r="Y852" s="168"/>
      <c r="AQ852" s="166"/>
    </row>
    <row r="853">
      <c r="D853" s="162"/>
      <c r="E853" s="163"/>
      <c r="G853" s="164"/>
      <c r="L853" s="165"/>
      <c r="M853" s="166"/>
      <c r="N853" s="166"/>
      <c r="P853" s="167"/>
      <c r="T853" s="164"/>
      <c r="X853" s="162"/>
      <c r="Y853" s="168"/>
      <c r="AQ853" s="166"/>
    </row>
    <row r="854">
      <c r="D854" s="162"/>
      <c r="E854" s="163"/>
      <c r="G854" s="164"/>
      <c r="L854" s="165"/>
      <c r="M854" s="166"/>
      <c r="N854" s="166"/>
      <c r="P854" s="167"/>
      <c r="T854" s="164"/>
      <c r="X854" s="162"/>
      <c r="Y854" s="168"/>
      <c r="AQ854" s="166"/>
    </row>
    <row r="855">
      <c r="D855" s="162"/>
      <c r="E855" s="163"/>
      <c r="G855" s="164"/>
      <c r="L855" s="165"/>
      <c r="M855" s="166"/>
      <c r="N855" s="166"/>
      <c r="P855" s="167"/>
      <c r="T855" s="164"/>
      <c r="X855" s="162"/>
      <c r="Y855" s="168"/>
      <c r="AQ855" s="166"/>
    </row>
    <row r="856">
      <c r="D856" s="162"/>
      <c r="E856" s="163"/>
      <c r="G856" s="164"/>
      <c r="L856" s="165"/>
      <c r="M856" s="166"/>
      <c r="N856" s="166"/>
      <c r="P856" s="167"/>
      <c r="T856" s="164"/>
      <c r="X856" s="162"/>
      <c r="Y856" s="168"/>
      <c r="AQ856" s="166"/>
    </row>
    <row r="857">
      <c r="D857" s="162"/>
      <c r="E857" s="163"/>
      <c r="G857" s="164"/>
      <c r="L857" s="165"/>
      <c r="M857" s="166"/>
      <c r="N857" s="166"/>
      <c r="P857" s="167"/>
      <c r="T857" s="164"/>
      <c r="X857" s="162"/>
      <c r="Y857" s="168"/>
      <c r="AQ857" s="166"/>
    </row>
    <row r="858">
      <c r="D858" s="162"/>
      <c r="E858" s="163"/>
      <c r="G858" s="164"/>
      <c r="L858" s="165"/>
      <c r="M858" s="166"/>
      <c r="N858" s="166"/>
      <c r="P858" s="167"/>
      <c r="T858" s="164"/>
      <c r="X858" s="162"/>
      <c r="Y858" s="168"/>
      <c r="AQ858" s="166"/>
    </row>
    <row r="859">
      <c r="D859" s="162"/>
      <c r="E859" s="163"/>
      <c r="G859" s="164"/>
      <c r="L859" s="165"/>
      <c r="M859" s="166"/>
      <c r="N859" s="166"/>
      <c r="P859" s="167"/>
      <c r="T859" s="164"/>
      <c r="X859" s="162"/>
      <c r="Y859" s="168"/>
      <c r="AQ859" s="166"/>
    </row>
    <row r="860">
      <c r="D860" s="162"/>
      <c r="E860" s="163"/>
      <c r="G860" s="164"/>
      <c r="L860" s="165"/>
      <c r="M860" s="166"/>
      <c r="N860" s="166"/>
      <c r="P860" s="167"/>
      <c r="T860" s="164"/>
      <c r="X860" s="162"/>
      <c r="Y860" s="168"/>
      <c r="AQ860" s="166"/>
    </row>
    <row r="861">
      <c r="D861" s="162"/>
      <c r="E861" s="163"/>
      <c r="G861" s="164"/>
      <c r="L861" s="165"/>
      <c r="M861" s="166"/>
      <c r="N861" s="166"/>
      <c r="P861" s="167"/>
      <c r="T861" s="164"/>
      <c r="X861" s="162"/>
      <c r="Y861" s="168"/>
      <c r="AQ861" s="166"/>
    </row>
    <row r="862">
      <c r="D862" s="162"/>
      <c r="E862" s="163"/>
      <c r="G862" s="164"/>
      <c r="L862" s="165"/>
      <c r="M862" s="166"/>
      <c r="N862" s="166"/>
      <c r="P862" s="167"/>
      <c r="T862" s="164"/>
      <c r="X862" s="162"/>
      <c r="Y862" s="168"/>
      <c r="AQ862" s="166"/>
    </row>
    <row r="863">
      <c r="D863" s="162"/>
      <c r="E863" s="163"/>
      <c r="G863" s="164"/>
      <c r="L863" s="165"/>
      <c r="M863" s="166"/>
      <c r="N863" s="166"/>
      <c r="P863" s="167"/>
      <c r="T863" s="164"/>
      <c r="X863" s="162"/>
      <c r="Y863" s="168"/>
      <c r="AQ863" s="166"/>
    </row>
    <row r="864">
      <c r="D864" s="162"/>
      <c r="E864" s="163"/>
      <c r="G864" s="164"/>
      <c r="L864" s="165"/>
      <c r="M864" s="166"/>
      <c r="N864" s="166"/>
      <c r="P864" s="167"/>
      <c r="T864" s="164"/>
      <c r="X864" s="162"/>
      <c r="Y864" s="168"/>
      <c r="AQ864" s="166"/>
    </row>
    <row r="865">
      <c r="D865" s="162"/>
      <c r="E865" s="163"/>
      <c r="G865" s="164"/>
      <c r="L865" s="165"/>
      <c r="M865" s="166"/>
      <c r="N865" s="166"/>
      <c r="P865" s="167"/>
      <c r="T865" s="164"/>
      <c r="X865" s="162"/>
      <c r="Y865" s="168"/>
      <c r="AQ865" s="166"/>
    </row>
    <row r="866">
      <c r="D866" s="162"/>
      <c r="E866" s="163"/>
      <c r="G866" s="164"/>
      <c r="L866" s="165"/>
      <c r="M866" s="166"/>
      <c r="N866" s="166"/>
      <c r="P866" s="167"/>
      <c r="T866" s="164"/>
      <c r="X866" s="162"/>
      <c r="Y866" s="168"/>
      <c r="AQ866" s="166"/>
    </row>
    <row r="867">
      <c r="D867" s="162"/>
      <c r="E867" s="163"/>
      <c r="G867" s="164"/>
      <c r="L867" s="165"/>
      <c r="M867" s="166"/>
      <c r="N867" s="166"/>
      <c r="P867" s="167"/>
      <c r="T867" s="164"/>
      <c r="X867" s="162"/>
      <c r="Y867" s="168"/>
      <c r="AQ867" s="166"/>
    </row>
    <row r="868">
      <c r="D868" s="162"/>
      <c r="E868" s="163"/>
      <c r="G868" s="164"/>
      <c r="L868" s="165"/>
      <c r="M868" s="166"/>
      <c r="N868" s="166"/>
      <c r="P868" s="167"/>
      <c r="T868" s="164"/>
      <c r="X868" s="162"/>
      <c r="Y868" s="168"/>
      <c r="AQ868" s="166"/>
    </row>
    <row r="869">
      <c r="D869" s="162"/>
      <c r="E869" s="163"/>
      <c r="G869" s="164"/>
      <c r="L869" s="165"/>
      <c r="M869" s="166"/>
      <c r="N869" s="166"/>
      <c r="P869" s="167"/>
      <c r="T869" s="164"/>
      <c r="X869" s="162"/>
      <c r="Y869" s="168"/>
      <c r="AQ869" s="166"/>
    </row>
    <row r="870">
      <c r="D870" s="162"/>
      <c r="E870" s="163"/>
      <c r="G870" s="164"/>
      <c r="L870" s="165"/>
      <c r="M870" s="166"/>
      <c r="N870" s="166"/>
      <c r="P870" s="167"/>
      <c r="T870" s="164"/>
      <c r="X870" s="162"/>
      <c r="Y870" s="168"/>
      <c r="AQ870" s="166"/>
    </row>
    <row r="871">
      <c r="D871" s="162"/>
      <c r="E871" s="163"/>
      <c r="G871" s="164"/>
      <c r="L871" s="165"/>
      <c r="M871" s="166"/>
      <c r="N871" s="166"/>
      <c r="P871" s="167"/>
      <c r="T871" s="164"/>
      <c r="X871" s="162"/>
      <c r="Y871" s="168"/>
      <c r="AQ871" s="166"/>
    </row>
    <row r="872">
      <c r="D872" s="162"/>
      <c r="E872" s="163"/>
      <c r="G872" s="164"/>
      <c r="L872" s="165"/>
      <c r="M872" s="166"/>
      <c r="N872" s="166"/>
      <c r="P872" s="167"/>
      <c r="T872" s="164"/>
      <c r="X872" s="162"/>
      <c r="Y872" s="168"/>
      <c r="AQ872" s="166"/>
    </row>
    <row r="873">
      <c r="D873" s="162"/>
      <c r="E873" s="163"/>
      <c r="G873" s="164"/>
      <c r="L873" s="165"/>
      <c r="M873" s="166"/>
      <c r="N873" s="166"/>
      <c r="P873" s="167"/>
      <c r="T873" s="164"/>
      <c r="X873" s="162"/>
      <c r="Y873" s="168"/>
      <c r="AQ873" s="166"/>
    </row>
    <row r="874">
      <c r="D874" s="162"/>
      <c r="E874" s="163"/>
      <c r="G874" s="164"/>
      <c r="L874" s="165"/>
      <c r="M874" s="166"/>
      <c r="N874" s="166"/>
      <c r="P874" s="167"/>
      <c r="T874" s="164"/>
      <c r="X874" s="162"/>
      <c r="Y874" s="168"/>
      <c r="AQ874" s="166"/>
    </row>
    <row r="875">
      <c r="D875" s="162"/>
      <c r="E875" s="163"/>
      <c r="G875" s="164"/>
      <c r="L875" s="165"/>
      <c r="M875" s="166"/>
      <c r="N875" s="166"/>
      <c r="P875" s="167"/>
      <c r="T875" s="164"/>
      <c r="X875" s="162"/>
      <c r="Y875" s="168"/>
      <c r="AQ875" s="166"/>
    </row>
    <row r="876">
      <c r="D876" s="162"/>
      <c r="E876" s="163"/>
      <c r="G876" s="164"/>
      <c r="L876" s="165"/>
      <c r="M876" s="166"/>
      <c r="N876" s="166"/>
      <c r="P876" s="167"/>
      <c r="T876" s="164"/>
      <c r="X876" s="162"/>
      <c r="Y876" s="168"/>
      <c r="AQ876" s="166"/>
    </row>
    <row r="877">
      <c r="D877" s="162"/>
      <c r="E877" s="163"/>
      <c r="G877" s="164"/>
      <c r="L877" s="165"/>
      <c r="M877" s="166"/>
      <c r="N877" s="166"/>
      <c r="P877" s="167"/>
      <c r="T877" s="164"/>
      <c r="X877" s="162"/>
      <c r="Y877" s="168"/>
      <c r="AQ877" s="166"/>
    </row>
    <row r="878">
      <c r="D878" s="162"/>
      <c r="E878" s="163"/>
      <c r="G878" s="164"/>
      <c r="L878" s="165"/>
      <c r="M878" s="166"/>
      <c r="N878" s="166"/>
      <c r="P878" s="167"/>
      <c r="T878" s="164"/>
      <c r="X878" s="162"/>
      <c r="Y878" s="168"/>
      <c r="AQ878" s="166"/>
    </row>
    <row r="879">
      <c r="D879" s="162"/>
      <c r="E879" s="163"/>
      <c r="G879" s="164"/>
      <c r="L879" s="165"/>
      <c r="M879" s="166"/>
      <c r="N879" s="166"/>
      <c r="P879" s="167"/>
      <c r="T879" s="164"/>
      <c r="X879" s="162"/>
      <c r="Y879" s="168"/>
      <c r="AQ879" s="166"/>
    </row>
    <row r="880">
      <c r="D880" s="162"/>
      <c r="E880" s="163"/>
      <c r="G880" s="164"/>
      <c r="L880" s="165"/>
      <c r="M880" s="166"/>
      <c r="N880" s="166"/>
      <c r="P880" s="167"/>
      <c r="T880" s="164"/>
      <c r="X880" s="162"/>
      <c r="Y880" s="168"/>
      <c r="AQ880" s="166"/>
    </row>
    <row r="881">
      <c r="D881" s="162"/>
      <c r="E881" s="163"/>
      <c r="G881" s="164"/>
      <c r="L881" s="165"/>
      <c r="M881" s="166"/>
      <c r="N881" s="166"/>
      <c r="P881" s="167"/>
      <c r="T881" s="164"/>
      <c r="X881" s="162"/>
      <c r="Y881" s="168"/>
      <c r="AQ881" s="166"/>
    </row>
    <row r="882">
      <c r="D882" s="162"/>
      <c r="E882" s="163"/>
      <c r="G882" s="164"/>
      <c r="L882" s="165"/>
      <c r="M882" s="166"/>
      <c r="N882" s="166"/>
      <c r="P882" s="167"/>
      <c r="T882" s="164"/>
      <c r="X882" s="162"/>
      <c r="Y882" s="168"/>
      <c r="AQ882" s="166"/>
    </row>
    <row r="883">
      <c r="D883" s="162"/>
      <c r="E883" s="163"/>
      <c r="G883" s="164"/>
      <c r="L883" s="165"/>
      <c r="M883" s="166"/>
      <c r="N883" s="166"/>
      <c r="P883" s="167"/>
      <c r="T883" s="164"/>
      <c r="X883" s="162"/>
      <c r="Y883" s="168"/>
      <c r="AQ883" s="166"/>
    </row>
    <row r="884">
      <c r="D884" s="162"/>
      <c r="E884" s="163"/>
      <c r="G884" s="164"/>
      <c r="L884" s="165"/>
      <c r="M884" s="166"/>
      <c r="N884" s="166"/>
      <c r="P884" s="167"/>
      <c r="T884" s="164"/>
      <c r="X884" s="162"/>
      <c r="Y884" s="168"/>
      <c r="AQ884" s="166"/>
    </row>
    <row r="885">
      <c r="D885" s="162"/>
      <c r="E885" s="163"/>
      <c r="G885" s="164"/>
      <c r="L885" s="165"/>
      <c r="M885" s="166"/>
      <c r="N885" s="166"/>
      <c r="P885" s="167"/>
      <c r="T885" s="164"/>
      <c r="X885" s="162"/>
      <c r="Y885" s="168"/>
      <c r="AQ885" s="166"/>
    </row>
    <row r="886">
      <c r="D886" s="162"/>
      <c r="E886" s="163"/>
      <c r="G886" s="164"/>
      <c r="L886" s="165"/>
      <c r="M886" s="166"/>
      <c r="N886" s="166"/>
      <c r="P886" s="167"/>
      <c r="T886" s="164"/>
      <c r="X886" s="162"/>
      <c r="Y886" s="168"/>
      <c r="AQ886" s="166"/>
    </row>
    <row r="887">
      <c r="D887" s="162"/>
      <c r="E887" s="163"/>
      <c r="G887" s="164"/>
      <c r="L887" s="165"/>
      <c r="M887" s="166"/>
      <c r="N887" s="166"/>
      <c r="P887" s="167"/>
      <c r="T887" s="164"/>
      <c r="X887" s="162"/>
      <c r="Y887" s="168"/>
      <c r="AQ887" s="166"/>
    </row>
    <row r="888">
      <c r="D888" s="162"/>
      <c r="E888" s="163"/>
      <c r="G888" s="164"/>
      <c r="L888" s="165"/>
      <c r="M888" s="166"/>
      <c r="N888" s="166"/>
      <c r="P888" s="167"/>
      <c r="T888" s="164"/>
      <c r="X888" s="162"/>
      <c r="Y888" s="168"/>
      <c r="AQ888" s="166"/>
    </row>
    <row r="889">
      <c r="D889" s="162"/>
      <c r="E889" s="163"/>
      <c r="G889" s="164"/>
      <c r="L889" s="165"/>
      <c r="M889" s="166"/>
      <c r="N889" s="166"/>
      <c r="P889" s="167"/>
      <c r="T889" s="164"/>
      <c r="X889" s="162"/>
      <c r="Y889" s="168"/>
      <c r="AQ889" s="166"/>
    </row>
    <row r="890">
      <c r="D890" s="162"/>
      <c r="E890" s="163"/>
      <c r="G890" s="164"/>
      <c r="L890" s="165"/>
      <c r="M890" s="166"/>
      <c r="N890" s="166"/>
      <c r="P890" s="167"/>
      <c r="T890" s="164"/>
      <c r="X890" s="162"/>
      <c r="Y890" s="168"/>
      <c r="AQ890" s="166"/>
    </row>
    <row r="891">
      <c r="D891" s="162"/>
      <c r="E891" s="163"/>
      <c r="G891" s="164"/>
      <c r="L891" s="165"/>
      <c r="M891" s="166"/>
      <c r="N891" s="166"/>
      <c r="P891" s="167"/>
      <c r="T891" s="164"/>
      <c r="X891" s="162"/>
      <c r="Y891" s="168"/>
      <c r="AQ891" s="166"/>
    </row>
    <row r="892">
      <c r="D892" s="162"/>
      <c r="E892" s="163"/>
      <c r="G892" s="164"/>
      <c r="L892" s="165"/>
      <c r="M892" s="166"/>
      <c r="N892" s="166"/>
      <c r="P892" s="167"/>
      <c r="T892" s="164"/>
      <c r="X892" s="162"/>
      <c r="Y892" s="168"/>
      <c r="AQ892" s="166"/>
    </row>
    <row r="893">
      <c r="D893" s="162"/>
      <c r="E893" s="163"/>
      <c r="G893" s="164"/>
      <c r="L893" s="165"/>
      <c r="M893" s="166"/>
      <c r="N893" s="166"/>
      <c r="P893" s="167"/>
      <c r="T893" s="164"/>
      <c r="X893" s="162"/>
      <c r="Y893" s="168"/>
      <c r="AQ893" s="166"/>
    </row>
    <row r="894">
      <c r="D894" s="162"/>
      <c r="E894" s="163"/>
      <c r="G894" s="164"/>
      <c r="L894" s="165"/>
      <c r="M894" s="166"/>
      <c r="N894" s="166"/>
      <c r="P894" s="167"/>
      <c r="T894" s="164"/>
      <c r="X894" s="162"/>
      <c r="Y894" s="168"/>
      <c r="AQ894" s="166"/>
    </row>
    <row r="895">
      <c r="D895" s="162"/>
      <c r="E895" s="163"/>
      <c r="G895" s="164"/>
      <c r="L895" s="165"/>
      <c r="M895" s="166"/>
      <c r="N895" s="166"/>
      <c r="P895" s="167"/>
      <c r="T895" s="164"/>
      <c r="X895" s="162"/>
      <c r="Y895" s="168"/>
      <c r="AQ895" s="166"/>
    </row>
    <row r="896">
      <c r="D896" s="162"/>
      <c r="E896" s="163"/>
      <c r="G896" s="164"/>
      <c r="L896" s="165"/>
      <c r="M896" s="166"/>
      <c r="N896" s="166"/>
      <c r="P896" s="167"/>
      <c r="T896" s="164"/>
      <c r="X896" s="162"/>
      <c r="Y896" s="168"/>
      <c r="AQ896" s="166"/>
    </row>
    <row r="897">
      <c r="D897" s="162"/>
      <c r="E897" s="163"/>
      <c r="G897" s="164"/>
      <c r="L897" s="165"/>
      <c r="M897" s="166"/>
      <c r="N897" s="166"/>
      <c r="P897" s="167"/>
      <c r="T897" s="164"/>
      <c r="X897" s="162"/>
      <c r="Y897" s="168"/>
      <c r="AQ897" s="166"/>
    </row>
    <row r="898">
      <c r="D898" s="162"/>
      <c r="E898" s="163"/>
      <c r="G898" s="164"/>
      <c r="L898" s="165"/>
      <c r="M898" s="166"/>
      <c r="N898" s="166"/>
      <c r="P898" s="167"/>
      <c r="T898" s="164"/>
      <c r="X898" s="162"/>
      <c r="Y898" s="168"/>
      <c r="AQ898" s="166"/>
    </row>
    <row r="899">
      <c r="D899" s="162"/>
      <c r="E899" s="163"/>
      <c r="G899" s="164"/>
      <c r="L899" s="165"/>
      <c r="M899" s="166"/>
      <c r="N899" s="166"/>
      <c r="P899" s="167"/>
      <c r="T899" s="164"/>
      <c r="X899" s="162"/>
      <c r="Y899" s="168"/>
      <c r="AQ899" s="166"/>
    </row>
    <row r="900">
      <c r="D900" s="162"/>
      <c r="E900" s="163"/>
      <c r="G900" s="164"/>
      <c r="L900" s="165"/>
      <c r="M900" s="166"/>
      <c r="N900" s="166"/>
      <c r="P900" s="167"/>
      <c r="T900" s="164"/>
      <c r="X900" s="162"/>
      <c r="Y900" s="168"/>
      <c r="AQ900" s="166"/>
    </row>
    <row r="901">
      <c r="D901" s="162"/>
      <c r="E901" s="163"/>
      <c r="G901" s="164"/>
      <c r="L901" s="165"/>
      <c r="M901" s="166"/>
      <c r="N901" s="166"/>
      <c r="P901" s="167"/>
      <c r="T901" s="164"/>
      <c r="X901" s="162"/>
      <c r="Y901" s="168"/>
      <c r="AQ901" s="166"/>
    </row>
    <row r="902">
      <c r="D902" s="162"/>
      <c r="E902" s="163"/>
      <c r="G902" s="164"/>
      <c r="L902" s="165"/>
      <c r="M902" s="166"/>
      <c r="N902" s="166"/>
      <c r="P902" s="167"/>
      <c r="T902" s="164"/>
      <c r="X902" s="162"/>
      <c r="Y902" s="168"/>
      <c r="AQ902" s="166"/>
    </row>
    <row r="903">
      <c r="D903" s="162"/>
      <c r="E903" s="163"/>
      <c r="G903" s="164"/>
      <c r="L903" s="165"/>
      <c r="M903" s="166"/>
      <c r="N903" s="166"/>
      <c r="P903" s="167"/>
      <c r="T903" s="164"/>
      <c r="X903" s="162"/>
      <c r="Y903" s="168"/>
      <c r="AQ903" s="166"/>
    </row>
    <row r="904">
      <c r="D904" s="162"/>
      <c r="E904" s="163"/>
      <c r="G904" s="164"/>
      <c r="L904" s="165"/>
      <c r="M904" s="166"/>
      <c r="N904" s="166"/>
      <c r="P904" s="167"/>
      <c r="T904" s="164"/>
      <c r="X904" s="162"/>
      <c r="Y904" s="168"/>
      <c r="AQ904" s="166"/>
    </row>
    <row r="905">
      <c r="D905" s="162"/>
      <c r="E905" s="163"/>
      <c r="G905" s="164"/>
      <c r="L905" s="165"/>
      <c r="M905" s="166"/>
      <c r="N905" s="166"/>
      <c r="P905" s="167"/>
      <c r="T905" s="164"/>
      <c r="X905" s="162"/>
      <c r="Y905" s="168"/>
      <c r="AQ905" s="166"/>
    </row>
    <row r="906">
      <c r="D906" s="162"/>
      <c r="E906" s="163"/>
      <c r="G906" s="164"/>
      <c r="L906" s="165"/>
      <c r="M906" s="166"/>
      <c r="N906" s="166"/>
      <c r="P906" s="167"/>
      <c r="T906" s="164"/>
      <c r="X906" s="162"/>
      <c r="Y906" s="168"/>
      <c r="AQ906" s="166"/>
    </row>
    <row r="907">
      <c r="D907" s="162"/>
      <c r="E907" s="163"/>
      <c r="G907" s="164"/>
      <c r="L907" s="165"/>
      <c r="M907" s="166"/>
      <c r="N907" s="166"/>
      <c r="P907" s="167"/>
      <c r="T907" s="164"/>
      <c r="X907" s="162"/>
      <c r="Y907" s="168"/>
      <c r="AQ907" s="166"/>
    </row>
    <row r="908">
      <c r="D908" s="162"/>
      <c r="E908" s="163"/>
      <c r="G908" s="164"/>
      <c r="L908" s="165"/>
      <c r="M908" s="166"/>
      <c r="N908" s="166"/>
      <c r="P908" s="167"/>
      <c r="T908" s="164"/>
      <c r="X908" s="162"/>
      <c r="Y908" s="168"/>
      <c r="AQ908" s="166"/>
    </row>
    <row r="909">
      <c r="D909" s="162"/>
      <c r="E909" s="163"/>
      <c r="G909" s="164"/>
      <c r="L909" s="165"/>
      <c r="M909" s="166"/>
      <c r="N909" s="166"/>
      <c r="P909" s="167"/>
      <c r="T909" s="164"/>
      <c r="X909" s="162"/>
      <c r="Y909" s="168"/>
      <c r="AQ909" s="166"/>
    </row>
    <row r="910">
      <c r="D910" s="162"/>
      <c r="E910" s="163"/>
      <c r="G910" s="164"/>
      <c r="L910" s="165"/>
      <c r="M910" s="166"/>
      <c r="N910" s="166"/>
      <c r="P910" s="167"/>
      <c r="T910" s="164"/>
      <c r="X910" s="162"/>
      <c r="Y910" s="168"/>
      <c r="AQ910" s="166"/>
    </row>
    <row r="911">
      <c r="D911" s="162"/>
      <c r="E911" s="163"/>
      <c r="G911" s="164"/>
      <c r="L911" s="165"/>
      <c r="M911" s="166"/>
      <c r="N911" s="166"/>
      <c r="P911" s="167"/>
      <c r="T911" s="164"/>
      <c r="X911" s="162"/>
      <c r="Y911" s="168"/>
      <c r="AQ911" s="166"/>
    </row>
    <row r="912">
      <c r="D912" s="162"/>
      <c r="E912" s="163"/>
      <c r="G912" s="164"/>
      <c r="L912" s="165"/>
      <c r="M912" s="166"/>
      <c r="N912" s="166"/>
      <c r="P912" s="167"/>
      <c r="T912" s="164"/>
      <c r="X912" s="162"/>
      <c r="Y912" s="168"/>
      <c r="AQ912" s="166"/>
    </row>
    <row r="913">
      <c r="D913" s="162"/>
      <c r="E913" s="163"/>
      <c r="G913" s="164"/>
      <c r="L913" s="165"/>
      <c r="M913" s="166"/>
      <c r="N913" s="166"/>
      <c r="P913" s="167"/>
      <c r="T913" s="164"/>
      <c r="X913" s="162"/>
      <c r="Y913" s="168"/>
      <c r="AQ913" s="166"/>
    </row>
    <row r="914">
      <c r="D914" s="162"/>
      <c r="E914" s="163"/>
      <c r="G914" s="164"/>
      <c r="L914" s="165"/>
      <c r="M914" s="166"/>
      <c r="N914" s="166"/>
      <c r="P914" s="167"/>
      <c r="T914" s="164"/>
      <c r="X914" s="162"/>
      <c r="Y914" s="168"/>
      <c r="AQ914" s="166"/>
    </row>
    <row r="915">
      <c r="D915" s="162"/>
      <c r="E915" s="163"/>
      <c r="G915" s="164"/>
      <c r="L915" s="165"/>
      <c r="M915" s="166"/>
      <c r="N915" s="166"/>
      <c r="P915" s="167"/>
      <c r="T915" s="164"/>
      <c r="X915" s="162"/>
      <c r="Y915" s="168"/>
      <c r="AQ915" s="166"/>
    </row>
    <row r="916">
      <c r="D916" s="162"/>
      <c r="E916" s="163"/>
      <c r="G916" s="164"/>
      <c r="L916" s="165"/>
      <c r="M916" s="166"/>
      <c r="N916" s="166"/>
      <c r="P916" s="167"/>
      <c r="T916" s="164"/>
      <c r="X916" s="162"/>
      <c r="Y916" s="168"/>
      <c r="AQ916" s="166"/>
    </row>
    <row r="917">
      <c r="D917" s="162"/>
      <c r="E917" s="163"/>
      <c r="G917" s="164"/>
      <c r="L917" s="165"/>
      <c r="M917" s="166"/>
      <c r="N917" s="166"/>
      <c r="P917" s="167"/>
      <c r="T917" s="164"/>
      <c r="X917" s="162"/>
      <c r="Y917" s="168"/>
      <c r="AQ917" s="166"/>
    </row>
    <row r="918">
      <c r="D918" s="162"/>
      <c r="E918" s="163"/>
      <c r="G918" s="164"/>
      <c r="L918" s="165"/>
      <c r="M918" s="166"/>
      <c r="N918" s="166"/>
      <c r="P918" s="167"/>
      <c r="T918" s="164"/>
      <c r="X918" s="162"/>
      <c r="Y918" s="168"/>
      <c r="AQ918" s="166"/>
    </row>
    <row r="919">
      <c r="D919" s="162"/>
      <c r="E919" s="163"/>
      <c r="G919" s="164"/>
      <c r="L919" s="165"/>
      <c r="M919" s="166"/>
      <c r="N919" s="166"/>
      <c r="P919" s="167"/>
      <c r="T919" s="164"/>
      <c r="X919" s="162"/>
      <c r="Y919" s="168"/>
      <c r="AQ919" s="166"/>
    </row>
    <row r="920">
      <c r="D920" s="162"/>
      <c r="E920" s="163"/>
      <c r="G920" s="164"/>
      <c r="L920" s="165"/>
      <c r="M920" s="166"/>
      <c r="N920" s="166"/>
      <c r="P920" s="167"/>
      <c r="T920" s="164"/>
      <c r="X920" s="162"/>
      <c r="Y920" s="168"/>
      <c r="AQ920" s="166"/>
    </row>
    <row r="921">
      <c r="D921" s="162"/>
      <c r="E921" s="163"/>
      <c r="G921" s="164"/>
      <c r="L921" s="165"/>
      <c r="M921" s="166"/>
      <c r="N921" s="166"/>
      <c r="P921" s="167"/>
      <c r="T921" s="164"/>
      <c r="X921" s="162"/>
      <c r="Y921" s="168"/>
      <c r="AQ921" s="166"/>
    </row>
    <row r="922">
      <c r="D922" s="162"/>
      <c r="E922" s="163"/>
      <c r="G922" s="164"/>
      <c r="L922" s="165"/>
      <c r="M922" s="166"/>
      <c r="N922" s="166"/>
      <c r="P922" s="167"/>
      <c r="T922" s="164"/>
      <c r="X922" s="162"/>
      <c r="Y922" s="168"/>
      <c r="AQ922" s="166"/>
    </row>
    <row r="923">
      <c r="D923" s="162"/>
      <c r="E923" s="163"/>
      <c r="G923" s="164"/>
      <c r="L923" s="165"/>
      <c r="M923" s="166"/>
      <c r="N923" s="166"/>
      <c r="P923" s="167"/>
      <c r="T923" s="164"/>
      <c r="X923" s="162"/>
      <c r="Y923" s="168"/>
      <c r="AQ923" s="166"/>
    </row>
    <row r="924">
      <c r="D924" s="162"/>
      <c r="E924" s="163"/>
      <c r="G924" s="164"/>
      <c r="L924" s="165"/>
      <c r="M924" s="166"/>
      <c r="N924" s="166"/>
      <c r="P924" s="167"/>
      <c r="T924" s="164"/>
      <c r="X924" s="162"/>
      <c r="Y924" s="168"/>
      <c r="AQ924" s="166"/>
    </row>
    <row r="925">
      <c r="D925" s="162"/>
      <c r="E925" s="163"/>
      <c r="G925" s="164"/>
      <c r="L925" s="165"/>
      <c r="M925" s="166"/>
      <c r="N925" s="166"/>
      <c r="P925" s="167"/>
      <c r="T925" s="164"/>
      <c r="X925" s="162"/>
      <c r="Y925" s="168"/>
      <c r="AQ925" s="166"/>
    </row>
    <row r="926">
      <c r="D926" s="162"/>
      <c r="E926" s="163"/>
      <c r="G926" s="164"/>
      <c r="L926" s="165"/>
      <c r="M926" s="166"/>
      <c r="N926" s="166"/>
      <c r="P926" s="167"/>
      <c r="T926" s="164"/>
      <c r="X926" s="162"/>
      <c r="Y926" s="168"/>
      <c r="AQ926" s="166"/>
    </row>
    <row r="927">
      <c r="D927" s="162"/>
      <c r="E927" s="163"/>
      <c r="G927" s="164"/>
      <c r="L927" s="165"/>
      <c r="M927" s="166"/>
      <c r="N927" s="166"/>
      <c r="P927" s="167"/>
      <c r="T927" s="164"/>
      <c r="X927" s="162"/>
      <c r="Y927" s="168"/>
      <c r="AQ927" s="166"/>
    </row>
    <row r="928">
      <c r="D928" s="162"/>
      <c r="E928" s="163"/>
      <c r="G928" s="164"/>
      <c r="L928" s="165"/>
      <c r="M928" s="166"/>
      <c r="N928" s="166"/>
      <c r="P928" s="167"/>
      <c r="T928" s="164"/>
      <c r="X928" s="162"/>
      <c r="Y928" s="168"/>
      <c r="AQ928" s="166"/>
    </row>
    <row r="929">
      <c r="D929" s="162"/>
      <c r="E929" s="163"/>
      <c r="G929" s="164"/>
      <c r="L929" s="165"/>
      <c r="M929" s="166"/>
      <c r="N929" s="166"/>
      <c r="P929" s="167"/>
      <c r="T929" s="164"/>
      <c r="X929" s="162"/>
      <c r="Y929" s="168"/>
      <c r="AQ929" s="166"/>
    </row>
    <row r="930">
      <c r="D930" s="162"/>
      <c r="E930" s="163"/>
      <c r="G930" s="164"/>
      <c r="L930" s="165"/>
      <c r="M930" s="166"/>
      <c r="N930" s="166"/>
      <c r="P930" s="167"/>
      <c r="T930" s="164"/>
      <c r="X930" s="162"/>
      <c r="Y930" s="168"/>
      <c r="AQ930" s="166"/>
    </row>
    <row r="931">
      <c r="D931" s="162"/>
      <c r="E931" s="163"/>
      <c r="G931" s="164"/>
      <c r="L931" s="165"/>
      <c r="M931" s="166"/>
      <c r="N931" s="166"/>
      <c r="P931" s="167"/>
      <c r="T931" s="164"/>
      <c r="X931" s="162"/>
      <c r="Y931" s="168"/>
      <c r="AQ931" s="166"/>
    </row>
    <row r="932">
      <c r="D932" s="162"/>
      <c r="E932" s="163"/>
      <c r="G932" s="164"/>
      <c r="L932" s="165"/>
      <c r="M932" s="166"/>
      <c r="N932" s="166"/>
      <c r="P932" s="167"/>
      <c r="T932" s="164"/>
      <c r="X932" s="162"/>
      <c r="Y932" s="168"/>
      <c r="AQ932" s="166"/>
    </row>
    <row r="933">
      <c r="D933" s="162"/>
      <c r="E933" s="163"/>
      <c r="G933" s="164"/>
      <c r="L933" s="165"/>
      <c r="M933" s="166"/>
      <c r="N933" s="166"/>
      <c r="P933" s="167"/>
      <c r="T933" s="164"/>
      <c r="X933" s="162"/>
      <c r="Y933" s="168"/>
      <c r="AQ933" s="166"/>
    </row>
    <row r="934">
      <c r="D934" s="162"/>
      <c r="E934" s="163"/>
      <c r="G934" s="164"/>
      <c r="L934" s="165"/>
      <c r="M934" s="166"/>
      <c r="N934" s="166"/>
      <c r="P934" s="167"/>
      <c r="T934" s="164"/>
      <c r="X934" s="162"/>
      <c r="Y934" s="168"/>
      <c r="AQ934" s="166"/>
    </row>
    <row r="935">
      <c r="D935" s="162"/>
      <c r="E935" s="163"/>
      <c r="G935" s="164"/>
      <c r="L935" s="165"/>
      <c r="M935" s="166"/>
      <c r="N935" s="166"/>
      <c r="P935" s="167"/>
      <c r="T935" s="164"/>
      <c r="X935" s="162"/>
      <c r="Y935" s="168"/>
      <c r="AQ935" s="166"/>
    </row>
    <row r="936">
      <c r="D936" s="162"/>
      <c r="E936" s="163"/>
      <c r="G936" s="164"/>
      <c r="L936" s="165"/>
      <c r="M936" s="166"/>
      <c r="N936" s="166"/>
      <c r="P936" s="167"/>
      <c r="T936" s="164"/>
      <c r="X936" s="162"/>
      <c r="Y936" s="168"/>
      <c r="AQ936" s="166"/>
    </row>
    <row r="937">
      <c r="D937" s="162"/>
      <c r="E937" s="163"/>
      <c r="G937" s="164"/>
      <c r="L937" s="165"/>
      <c r="M937" s="166"/>
      <c r="N937" s="166"/>
      <c r="P937" s="167"/>
      <c r="T937" s="164"/>
      <c r="X937" s="162"/>
      <c r="Y937" s="168"/>
      <c r="AQ937" s="166"/>
    </row>
    <row r="938">
      <c r="D938" s="162"/>
      <c r="E938" s="163"/>
      <c r="G938" s="164"/>
      <c r="L938" s="165"/>
      <c r="M938" s="166"/>
      <c r="N938" s="166"/>
      <c r="P938" s="167"/>
      <c r="T938" s="164"/>
      <c r="X938" s="162"/>
      <c r="Y938" s="168"/>
      <c r="AQ938" s="166"/>
    </row>
    <row r="939">
      <c r="D939" s="162"/>
      <c r="E939" s="163"/>
      <c r="G939" s="164"/>
      <c r="L939" s="165"/>
      <c r="M939" s="166"/>
      <c r="N939" s="166"/>
      <c r="P939" s="167"/>
      <c r="T939" s="164"/>
      <c r="X939" s="162"/>
      <c r="Y939" s="168"/>
      <c r="AQ939" s="166"/>
    </row>
    <row r="940">
      <c r="D940" s="162"/>
      <c r="E940" s="163"/>
      <c r="G940" s="164"/>
      <c r="L940" s="165"/>
      <c r="M940" s="166"/>
      <c r="N940" s="166"/>
      <c r="P940" s="167"/>
      <c r="T940" s="164"/>
      <c r="X940" s="162"/>
      <c r="Y940" s="168"/>
      <c r="AQ940" s="166"/>
    </row>
    <row r="941">
      <c r="D941" s="162"/>
      <c r="E941" s="163"/>
      <c r="G941" s="164"/>
      <c r="L941" s="165"/>
      <c r="M941" s="166"/>
      <c r="N941" s="166"/>
      <c r="P941" s="167"/>
      <c r="T941" s="164"/>
      <c r="X941" s="162"/>
      <c r="Y941" s="168"/>
      <c r="AQ941" s="166"/>
    </row>
    <row r="942">
      <c r="D942" s="162"/>
      <c r="E942" s="163"/>
      <c r="G942" s="164"/>
      <c r="L942" s="165"/>
      <c r="M942" s="166"/>
      <c r="N942" s="166"/>
      <c r="P942" s="167"/>
      <c r="T942" s="164"/>
      <c r="X942" s="162"/>
      <c r="Y942" s="168"/>
      <c r="AQ942" s="166"/>
    </row>
    <row r="943">
      <c r="D943" s="162"/>
      <c r="E943" s="163"/>
      <c r="G943" s="164"/>
      <c r="L943" s="165"/>
      <c r="M943" s="166"/>
      <c r="N943" s="166"/>
      <c r="P943" s="167"/>
      <c r="T943" s="164"/>
      <c r="X943" s="162"/>
      <c r="Y943" s="168"/>
      <c r="AQ943" s="166"/>
    </row>
    <row r="944">
      <c r="D944" s="162"/>
      <c r="E944" s="163"/>
      <c r="G944" s="164"/>
      <c r="L944" s="165"/>
      <c r="M944" s="166"/>
      <c r="N944" s="166"/>
      <c r="P944" s="167"/>
      <c r="T944" s="164"/>
      <c r="X944" s="162"/>
      <c r="Y944" s="168"/>
      <c r="AQ944" s="166"/>
    </row>
    <row r="945">
      <c r="D945" s="162"/>
      <c r="E945" s="163"/>
      <c r="G945" s="164"/>
      <c r="L945" s="165"/>
      <c r="M945" s="166"/>
      <c r="N945" s="166"/>
      <c r="P945" s="167"/>
      <c r="T945" s="164"/>
      <c r="X945" s="162"/>
      <c r="Y945" s="168"/>
      <c r="AQ945" s="166"/>
    </row>
    <row r="946">
      <c r="D946" s="162"/>
      <c r="E946" s="163"/>
      <c r="G946" s="164"/>
      <c r="L946" s="165"/>
      <c r="M946" s="166"/>
      <c r="N946" s="166"/>
      <c r="P946" s="167"/>
      <c r="T946" s="164"/>
      <c r="X946" s="162"/>
      <c r="Y946" s="168"/>
      <c r="AQ946" s="166"/>
    </row>
    <row r="947">
      <c r="D947" s="162"/>
      <c r="E947" s="163"/>
      <c r="G947" s="164"/>
      <c r="L947" s="165"/>
      <c r="M947" s="166"/>
      <c r="N947" s="166"/>
      <c r="P947" s="167"/>
      <c r="T947" s="164"/>
      <c r="X947" s="162"/>
      <c r="Y947" s="168"/>
      <c r="AQ947" s="166"/>
    </row>
    <row r="948">
      <c r="D948" s="162"/>
      <c r="E948" s="163"/>
      <c r="G948" s="164"/>
      <c r="L948" s="165"/>
      <c r="M948" s="166"/>
      <c r="N948" s="166"/>
      <c r="P948" s="167"/>
      <c r="T948" s="164"/>
      <c r="X948" s="162"/>
      <c r="Y948" s="168"/>
      <c r="AQ948" s="166"/>
    </row>
    <row r="949">
      <c r="D949" s="162"/>
      <c r="E949" s="163"/>
      <c r="G949" s="164"/>
      <c r="L949" s="165"/>
      <c r="M949" s="166"/>
      <c r="N949" s="166"/>
      <c r="P949" s="167"/>
      <c r="T949" s="164"/>
      <c r="X949" s="162"/>
      <c r="Y949" s="168"/>
      <c r="AQ949" s="166"/>
    </row>
    <row r="950">
      <c r="D950" s="162"/>
      <c r="E950" s="163"/>
      <c r="G950" s="164"/>
      <c r="L950" s="165"/>
      <c r="M950" s="166"/>
      <c r="N950" s="166"/>
      <c r="P950" s="167"/>
      <c r="T950" s="164"/>
      <c r="X950" s="162"/>
      <c r="Y950" s="168"/>
      <c r="AQ950" s="166"/>
    </row>
    <row r="951">
      <c r="D951" s="162"/>
      <c r="E951" s="163"/>
      <c r="G951" s="164"/>
      <c r="L951" s="165"/>
      <c r="M951" s="166"/>
      <c r="N951" s="166"/>
      <c r="P951" s="167"/>
      <c r="T951" s="164"/>
      <c r="X951" s="162"/>
      <c r="Y951" s="168"/>
      <c r="AQ951" s="166"/>
    </row>
    <row r="952">
      <c r="D952" s="162"/>
      <c r="E952" s="163"/>
      <c r="G952" s="164"/>
      <c r="L952" s="165"/>
      <c r="M952" s="166"/>
      <c r="N952" s="166"/>
      <c r="P952" s="167"/>
      <c r="T952" s="164"/>
      <c r="X952" s="162"/>
      <c r="Y952" s="168"/>
      <c r="AQ952" s="166"/>
    </row>
    <row r="953">
      <c r="D953" s="162"/>
      <c r="E953" s="163"/>
      <c r="G953" s="164"/>
      <c r="L953" s="165"/>
      <c r="M953" s="166"/>
      <c r="N953" s="166"/>
      <c r="P953" s="167"/>
      <c r="T953" s="164"/>
      <c r="X953" s="162"/>
      <c r="Y953" s="168"/>
      <c r="AQ953" s="166"/>
    </row>
    <row r="954">
      <c r="D954" s="162"/>
      <c r="E954" s="163"/>
      <c r="G954" s="164"/>
      <c r="L954" s="165"/>
      <c r="M954" s="166"/>
      <c r="N954" s="166"/>
      <c r="P954" s="167"/>
      <c r="T954" s="164"/>
      <c r="X954" s="162"/>
      <c r="Y954" s="168"/>
      <c r="AQ954" s="166"/>
    </row>
    <row r="955">
      <c r="D955" s="162"/>
      <c r="E955" s="163"/>
      <c r="G955" s="164"/>
      <c r="L955" s="165"/>
      <c r="M955" s="166"/>
      <c r="N955" s="166"/>
      <c r="P955" s="167"/>
      <c r="T955" s="164"/>
      <c r="X955" s="162"/>
      <c r="Y955" s="168"/>
      <c r="AQ955" s="166"/>
    </row>
    <row r="956">
      <c r="D956" s="162"/>
      <c r="E956" s="163"/>
      <c r="G956" s="164"/>
      <c r="L956" s="165"/>
      <c r="M956" s="166"/>
      <c r="N956" s="166"/>
      <c r="P956" s="167"/>
      <c r="T956" s="164"/>
      <c r="X956" s="162"/>
      <c r="Y956" s="168"/>
      <c r="AQ956" s="166"/>
    </row>
    <row r="957">
      <c r="D957" s="162"/>
      <c r="E957" s="163"/>
      <c r="G957" s="164"/>
      <c r="L957" s="165"/>
      <c r="M957" s="166"/>
      <c r="N957" s="166"/>
      <c r="P957" s="167"/>
      <c r="T957" s="164"/>
      <c r="X957" s="162"/>
      <c r="Y957" s="168"/>
      <c r="AQ957" s="166"/>
    </row>
    <row r="958">
      <c r="D958" s="162"/>
      <c r="E958" s="163"/>
      <c r="G958" s="164"/>
      <c r="L958" s="165"/>
      <c r="M958" s="166"/>
      <c r="N958" s="166"/>
      <c r="P958" s="167"/>
      <c r="T958" s="164"/>
      <c r="X958" s="162"/>
      <c r="Y958" s="168"/>
      <c r="AQ958" s="166"/>
    </row>
    <row r="959">
      <c r="D959" s="162"/>
      <c r="E959" s="163"/>
      <c r="G959" s="164"/>
      <c r="L959" s="165"/>
      <c r="M959" s="166"/>
      <c r="N959" s="166"/>
      <c r="P959" s="167"/>
      <c r="T959" s="164"/>
      <c r="X959" s="162"/>
      <c r="Y959" s="168"/>
      <c r="AQ959" s="166"/>
    </row>
    <row r="960">
      <c r="D960" s="162"/>
      <c r="E960" s="163"/>
      <c r="G960" s="164"/>
      <c r="L960" s="165"/>
      <c r="M960" s="166"/>
      <c r="N960" s="166"/>
      <c r="P960" s="167"/>
      <c r="T960" s="164"/>
      <c r="X960" s="162"/>
      <c r="Y960" s="168"/>
      <c r="AQ960" s="166"/>
    </row>
    <row r="961">
      <c r="D961" s="162"/>
      <c r="E961" s="163"/>
      <c r="G961" s="164"/>
      <c r="L961" s="165"/>
      <c r="M961" s="166"/>
      <c r="N961" s="166"/>
      <c r="P961" s="167"/>
      <c r="T961" s="164"/>
      <c r="X961" s="162"/>
      <c r="Y961" s="168"/>
      <c r="AQ961" s="166"/>
    </row>
    <row r="962">
      <c r="D962" s="162"/>
      <c r="E962" s="163"/>
      <c r="G962" s="164"/>
      <c r="L962" s="165"/>
      <c r="M962" s="166"/>
      <c r="N962" s="166"/>
      <c r="P962" s="167"/>
      <c r="T962" s="164"/>
      <c r="X962" s="162"/>
      <c r="Y962" s="168"/>
      <c r="AQ962" s="166"/>
    </row>
    <row r="963">
      <c r="D963" s="162"/>
      <c r="E963" s="163"/>
      <c r="G963" s="164"/>
      <c r="L963" s="165"/>
      <c r="M963" s="166"/>
      <c r="N963" s="166"/>
      <c r="P963" s="167"/>
      <c r="T963" s="164"/>
      <c r="X963" s="162"/>
      <c r="Y963" s="168"/>
      <c r="AQ963" s="166"/>
    </row>
    <row r="964">
      <c r="D964" s="162"/>
      <c r="E964" s="163"/>
      <c r="G964" s="164"/>
      <c r="L964" s="165"/>
      <c r="M964" s="166"/>
      <c r="N964" s="166"/>
      <c r="P964" s="167"/>
      <c r="T964" s="164"/>
      <c r="X964" s="162"/>
      <c r="Y964" s="168"/>
      <c r="AQ964" s="166"/>
    </row>
    <row r="965">
      <c r="D965" s="162"/>
      <c r="E965" s="163"/>
      <c r="G965" s="164"/>
      <c r="L965" s="165"/>
      <c r="M965" s="166"/>
      <c r="N965" s="166"/>
      <c r="P965" s="167"/>
      <c r="T965" s="164"/>
      <c r="X965" s="162"/>
      <c r="Y965" s="168"/>
      <c r="AQ965" s="166"/>
    </row>
    <row r="966">
      <c r="D966" s="162"/>
      <c r="E966" s="163"/>
      <c r="G966" s="164"/>
      <c r="L966" s="165"/>
      <c r="M966" s="166"/>
      <c r="N966" s="166"/>
      <c r="P966" s="167"/>
      <c r="T966" s="164"/>
      <c r="X966" s="162"/>
      <c r="Y966" s="168"/>
      <c r="AQ966" s="166"/>
    </row>
    <row r="967">
      <c r="D967" s="162"/>
      <c r="E967" s="163"/>
      <c r="G967" s="164"/>
      <c r="L967" s="165"/>
      <c r="M967" s="166"/>
      <c r="N967" s="166"/>
      <c r="P967" s="167"/>
      <c r="T967" s="164"/>
      <c r="X967" s="162"/>
      <c r="Y967" s="168"/>
      <c r="AQ967" s="166"/>
    </row>
    <row r="968">
      <c r="D968" s="162"/>
      <c r="E968" s="163"/>
      <c r="G968" s="164"/>
      <c r="L968" s="165"/>
      <c r="M968" s="166"/>
      <c r="N968" s="166"/>
      <c r="P968" s="167"/>
      <c r="T968" s="164"/>
      <c r="X968" s="162"/>
      <c r="Y968" s="168"/>
      <c r="AQ968" s="166"/>
    </row>
    <row r="969">
      <c r="D969" s="162"/>
      <c r="E969" s="163"/>
      <c r="G969" s="164"/>
      <c r="L969" s="165"/>
      <c r="M969" s="166"/>
      <c r="N969" s="166"/>
      <c r="P969" s="167"/>
      <c r="T969" s="164"/>
      <c r="X969" s="162"/>
      <c r="Y969" s="168"/>
      <c r="AQ969" s="166"/>
    </row>
    <row r="970">
      <c r="D970" s="162"/>
      <c r="E970" s="163"/>
      <c r="G970" s="164"/>
      <c r="L970" s="165"/>
      <c r="M970" s="166"/>
      <c r="N970" s="166"/>
      <c r="P970" s="167"/>
      <c r="T970" s="164"/>
      <c r="X970" s="162"/>
      <c r="Y970" s="168"/>
      <c r="AQ970" s="166"/>
    </row>
    <row r="971">
      <c r="D971" s="162"/>
      <c r="E971" s="163"/>
      <c r="G971" s="164"/>
      <c r="L971" s="165"/>
      <c r="M971" s="166"/>
      <c r="N971" s="166"/>
      <c r="P971" s="167"/>
      <c r="T971" s="164"/>
      <c r="X971" s="162"/>
      <c r="Y971" s="168"/>
      <c r="AQ971" s="166"/>
    </row>
    <row r="972">
      <c r="D972" s="162"/>
      <c r="E972" s="163"/>
      <c r="G972" s="164"/>
      <c r="L972" s="165"/>
      <c r="M972" s="166"/>
      <c r="N972" s="166"/>
      <c r="P972" s="167"/>
      <c r="T972" s="164"/>
      <c r="X972" s="162"/>
      <c r="Y972" s="168"/>
      <c r="AQ972" s="166"/>
    </row>
    <row r="973">
      <c r="D973" s="162"/>
      <c r="E973" s="163"/>
      <c r="G973" s="164"/>
      <c r="L973" s="165"/>
      <c r="M973" s="166"/>
      <c r="N973" s="166"/>
      <c r="P973" s="167"/>
      <c r="T973" s="164"/>
      <c r="X973" s="162"/>
      <c r="Y973" s="168"/>
      <c r="AQ973" s="166"/>
    </row>
    <row r="974">
      <c r="D974" s="162"/>
      <c r="E974" s="163"/>
      <c r="G974" s="164"/>
      <c r="L974" s="165"/>
      <c r="M974" s="166"/>
      <c r="N974" s="166"/>
      <c r="P974" s="167"/>
      <c r="T974" s="164"/>
      <c r="X974" s="162"/>
      <c r="Y974" s="168"/>
      <c r="AQ974" s="166"/>
    </row>
    <row r="975">
      <c r="D975" s="162"/>
      <c r="E975" s="163"/>
      <c r="G975" s="164"/>
      <c r="L975" s="165"/>
      <c r="M975" s="166"/>
      <c r="N975" s="166"/>
      <c r="P975" s="167"/>
      <c r="T975" s="164"/>
      <c r="X975" s="162"/>
      <c r="Y975" s="168"/>
      <c r="AQ975" s="166"/>
    </row>
    <row r="976">
      <c r="D976" s="162"/>
      <c r="E976" s="163"/>
      <c r="G976" s="164"/>
      <c r="L976" s="165"/>
      <c r="M976" s="166"/>
      <c r="N976" s="166"/>
      <c r="P976" s="167"/>
      <c r="T976" s="164"/>
      <c r="X976" s="162"/>
      <c r="Y976" s="168"/>
      <c r="AQ976" s="166"/>
    </row>
    <row r="977">
      <c r="D977" s="162"/>
      <c r="E977" s="163"/>
      <c r="G977" s="164"/>
      <c r="L977" s="165"/>
      <c r="M977" s="166"/>
      <c r="N977" s="166"/>
      <c r="P977" s="167"/>
      <c r="T977" s="164"/>
      <c r="X977" s="162"/>
      <c r="Y977" s="168"/>
      <c r="AQ977" s="166"/>
    </row>
    <row r="978">
      <c r="D978" s="162"/>
      <c r="E978" s="163"/>
      <c r="G978" s="164"/>
      <c r="L978" s="165"/>
      <c r="M978" s="166"/>
      <c r="N978" s="166"/>
      <c r="P978" s="167"/>
      <c r="T978" s="164"/>
      <c r="X978" s="162"/>
      <c r="Y978" s="168"/>
      <c r="AQ978" s="166"/>
    </row>
    <row r="979">
      <c r="D979" s="162"/>
      <c r="E979" s="163"/>
      <c r="G979" s="164"/>
      <c r="L979" s="165"/>
      <c r="M979" s="166"/>
      <c r="N979" s="166"/>
      <c r="P979" s="167"/>
      <c r="T979" s="164"/>
      <c r="X979" s="162"/>
      <c r="Y979" s="168"/>
      <c r="AQ979" s="166"/>
    </row>
    <row r="980">
      <c r="D980" s="162"/>
      <c r="E980" s="163"/>
      <c r="G980" s="164"/>
      <c r="L980" s="165"/>
      <c r="M980" s="166"/>
      <c r="N980" s="166"/>
      <c r="P980" s="167"/>
      <c r="T980" s="164"/>
      <c r="X980" s="162"/>
      <c r="Y980" s="168"/>
      <c r="AQ980" s="166"/>
    </row>
    <row r="981">
      <c r="D981" s="162"/>
      <c r="E981" s="163"/>
      <c r="G981" s="164"/>
      <c r="L981" s="165"/>
      <c r="M981" s="166"/>
      <c r="N981" s="166"/>
      <c r="P981" s="167"/>
      <c r="T981" s="164"/>
      <c r="X981" s="162"/>
      <c r="Y981" s="168"/>
      <c r="AQ981" s="166"/>
    </row>
    <row r="982">
      <c r="D982" s="162"/>
      <c r="E982" s="163"/>
      <c r="G982" s="164"/>
      <c r="L982" s="165"/>
      <c r="M982" s="166"/>
      <c r="N982" s="166"/>
      <c r="P982" s="167"/>
      <c r="T982" s="164"/>
      <c r="X982" s="162"/>
      <c r="Y982" s="168"/>
      <c r="AQ982" s="166"/>
    </row>
    <row r="983">
      <c r="D983" s="162"/>
      <c r="E983" s="163"/>
      <c r="G983" s="164"/>
      <c r="L983" s="165"/>
      <c r="M983" s="166"/>
      <c r="N983" s="166"/>
      <c r="P983" s="167"/>
      <c r="T983" s="164"/>
      <c r="X983" s="162"/>
      <c r="Y983" s="168"/>
      <c r="AQ983" s="166"/>
    </row>
    <row r="984">
      <c r="D984" s="162"/>
      <c r="E984" s="163"/>
      <c r="G984" s="164"/>
      <c r="L984" s="165"/>
      <c r="M984" s="166"/>
      <c r="N984" s="166"/>
      <c r="P984" s="167"/>
      <c r="T984" s="164"/>
      <c r="X984" s="162"/>
      <c r="Y984" s="168"/>
      <c r="AQ984" s="166"/>
    </row>
    <row r="985">
      <c r="D985" s="162"/>
      <c r="E985" s="163"/>
      <c r="G985" s="164"/>
      <c r="L985" s="165"/>
      <c r="M985" s="166"/>
      <c r="N985" s="166"/>
      <c r="P985" s="167"/>
      <c r="T985" s="164"/>
      <c r="X985" s="162"/>
      <c r="Y985" s="168"/>
      <c r="AQ985" s="166"/>
    </row>
    <row r="986">
      <c r="D986" s="162"/>
      <c r="E986" s="163"/>
      <c r="G986" s="164"/>
      <c r="L986" s="165"/>
      <c r="M986" s="166"/>
      <c r="N986" s="166"/>
      <c r="P986" s="167"/>
      <c r="T986" s="164"/>
      <c r="X986" s="162"/>
      <c r="Y986" s="168"/>
      <c r="AQ986" s="166"/>
    </row>
    <row r="987">
      <c r="D987" s="162"/>
      <c r="E987" s="163"/>
      <c r="G987" s="164"/>
      <c r="L987" s="165"/>
      <c r="M987" s="166"/>
      <c r="N987" s="166"/>
      <c r="P987" s="167"/>
      <c r="T987" s="164"/>
      <c r="X987" s="162"/>
      <c r="Y987" s="168"/>
      <c r="AQ987" s="166"/>
    </row>
    <row r="988">
      <c r="D988" s="162"/>
      <c r="E988" s="163"/>
      <c r="G988" s="164"/>
      <c r="L988" s="165"/>
      <c r="M988" s="166"/>
      <c r="N988" s="166"/>
      <c r="P988" s="167"/>
      <c r="T988" s="164"/>
      <c r="X988" s="162"/>
      <c r="Y988" s="168"/>
      <c r="AQ988" s="166"/>
    </row>
    <row r="989">
      <c r="D989" s="162"/>
      <c r="E989" s="163"/>
      <c r="G989" s="164"/>
      <c r="L989" s="165"/>
      <c r="M989" s="166"/>
      <c r="N989" s="166"/>
      <c r="P989" s="167"/>
      <c r="T989" s="164"/>
      <c r="X989" s="162"/>
      <c r="Y989" s="168"/>
      <c r="AQ989" s="166"/>
    </row>
    <row r="990">
      <c r="D990" s="162"/>
      <c r="E990" s="163"/>
      <c r="G990" s="164"/>
      <c r="L990" s="165"/>
      <c r="M990" s="166"/>
      <c r="N990" s="166"/>
      <c r="P990" s="167"/>
      <c r="T990" s="164"/>
      <c r="X990" s="162"/>
      <c r="Y990" s="168"/>
      <c r="AQ990" s="166"/>
    </row>
    <row r="991">
      <c r="D991" s="162"/>
      <c r="E991" s="163"/>
      <c r="G991" s="164"/>
      <c r="L991" s="165"/>
      <c r="M991" s="166"/>
      <c r="N991" s="166"/>
      <c r="P991" s="167"/>
      <c r="T991" s="164"/>
      <c r="X991" s="162"/>
      <c r="Y991" s="168"/>
      <c r="AQ991" s="166"/>
    </row>
    <row r="992">
      <c r="D992" s="162"/>
      <c r="E992" s="163"/>
      <c r="G992" s="164"/>
      <c r="L992" s="165"/>
      <c r="M992" s="166"/>
      <c r="N992" s="166"/>
      <c r="P992" s="167"/>
      <c r="T992" s="164"/>
      <c r="X992" s="162"/>
      <c r="Y992" s="168"/>
      <c r="AQ992" s="166"/>
    </row>
    <row r="993">
      <c r="D993" s="162"/>
      <c r="E993" s="163"/>
      <c r="G993" s="164"/>
      <c r="L993" s="165"/>
      <c r="M993" s="166"/>
      <c r="N993" s="166"/>
      <c r="P993" s="167"/>
      <c r="T993" s="164"/>
      <c r="X993" s="162"/>
      <c r="Y993" s="168"/>
      <c r="AQ993" s="166"/>
    </row>
    <row r="994">
      <c r="D994" s="162"/>
      <c r="E994" s="163"/>
      <c r="G994" s="164"/>
      <c r="L994" s="165"/>
      <c r="M994" s="166"/>
      <c r="N994" s="166"/>
      <c r="P994" s="167"/>
      <c r="T994" s="164"/>
      <c r="X994" s="162"/>
      <c r="Y994" s="168"/>
      <c r="AQ994" s="166"/>
    </row>
    <row r="995">
      <c r="D995" s="162"/>
      <c r="E995" s="163"/>
      <c r="G995" s="164"/>
      <c r="L995" s="165"/>
      <c r="M995" s="166"/>
      <c r="N995" s="166"/>
      <c r="P995" s="167"/>
      <c r="T995" s="164"/>
      <c r="X995" s="162"/>
      <c r="Y995" s="168"/>
      <c r="AQ995" s="166"/>
    </row>
    <row r="996">
      <c r="D996" s="162"/>
      <c r="E996" s="163"/>
      <c r="G996" s="164"/>
      <c r="L996" s="165"/>
      <c r="M996" s="166"/>
      <c r="N996" s="166"/>
      <c r="P996" s="167"/>
      <c r="T996" s="164"/>
      <c r="X996" s="162"/>
      <c r="Y996" s="168"/>
      <c r="AQ996" s="166"/>
    </row>
    <row r="997">
      <c r="D997" s="162"/>
      <c r="E997" s="163"/>
      <c r="G997" s="164"/>
      <c r="L997" s="165"/>
      <c r="M997" s="166"/>
      <c r="N997" s="166"/>
      <c r="P997" s="167"/>
      <c r="T997" s="164"/>
      <c r="X997" s="162"/>
      <c r="Y997" s="168"/>
      <c r="AQ997" s="166"/>
    </row>
    <row r="998">
      <c r="D998" s="162"/>
      <c r="E998" s="163"/>
      <c r="G998" s="164"/>
      <c r="L998" s="165"/>
      <c r="M998" s="166"/>
      <c r="N998" s="166"/>
      <c r="P998" s="167"/>
      <c r="T998" s="164"/>
      <c r="X998" s="162"/>
      <c r="Y998" s="168"/>
      <c r="AQ998" s="166"/>
    </row>
    <row r="999">
      <c r="D999" s="162"/>
      <c r="E999" s="163"/>
      <c r="G999" s="164"/>
      <c r="L999" s="165"/>
      <c r="M999" s="166"/>
      <c r="N999" s="166"/>
      <c r="P999" s="167"/>
      <c r="T999" s="164"/>
      <c r="X999" s="162"/>
      <c r="Y999" s="168"/>
      <c r="AQ999" s="166"/>
    </row>
    <row r="1000">
      <c r="D1000" s="162"/>
      <c r="E1000" s="163"/>
      <c r="G1000" s="164"/>
      <c r="L1000" s="165"/>
      <c r="M1000" s="166"/>
      <c r="N1000" s="166"/>
      <c r="P1000" s="167"/>
      <c r="T1000" s="164"/>
      <c r="X1000" s="162"/>
      <c r="Y1000" s="168"/>
      <c r="AQ1000" s="166"/>
    </row>
  </sheetData>
  <mergeCells count="4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Q1:AQ2"/>
    <mergeCell ref="AR1:AR2"/>
    <mergeCell ref="AS1:AS2"/>
    <mergeCell ref="AT1:AT2"/>
    <mergeCell ref="AJ1:AJ2"/>
    <mergeCell ref="AK1:AK2"/>
    <mergeCell ref="AL1:AL2"/>
    <mergeCell ref="AM1:AM2"/>
    <mergeCell ref="AN1:AN2"/>
    <mergeCell ref="AO1:AO2"/>
    <mergeCell ref="AP1:AP2"/>
  </mergeCells>
  <conditionalFormatting sqref="A3:C39">
    <cfRule type="expression" dxfId="2" priority="1">
      <formula>#REF! = "FAIL"</formula>
    </cfRule>
  </conditionalFormatting>
  <conditionalFormatting sqref="A3:C39">
    <cfRule type="expression" dxfId="3" priority="2">
      <formula>$G3="BARRED"</formula>
    </cfRule>
  </conditionalFormatting>
  <conditionalFormatting sqref="A3:C20">
    <cfRule type="expression" dxfId="2" priority="3">
      <formula>$BL3 = "FAIL"</formula>
    </cfRule>
  </conditionalFormatting>
  <conditionalFormatting sqref="A3:C20">
    <cfRule type="expression" dxfId="3" priority="4">
      <formula>$F3="BARRED"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2">
      <c r="A2" s="79"/>
      <c r="B2" s="82"/>
      <c r="C2" s="85"/>
      <c r="D2" s="84"/>
      <c r="E2" s="84"/>
      <c r="F2" s="84"/>
      <c r="G2" s="86"/>
      <c r="H2" s="86"/>
      <c r="I2" s="135"/>
    </row>
    <row r="3">
      <c r="A3" s="79"/>
      <c r="B3" s="95"/>
      <c r="C3" s="85"/>
      <c r="D3" s="78"/>
      <c r="E3" s="84"/>
      <c r="F3" s="78"/>
      <c r="G3" s="86"/>
      <c r="H3" s="98"/>
      <c r="I3" s="135"/>
    </row>
    <row r="4">
      <c r="A4" s="79"/>
      <c r="B4" s="95"/>
      <c r="C4" s="85"/>
      <c r="D4" s="78"/>
      <c r="E4" s="84"/>
      <c r="F4" s="78"/>
      <c r="G4" s="86"/>
      <c r="H4" s="98"/>
      <c r="I4" s="135"/>
    </row>
    <row r="5">
      <c r="A5" s="79"/>
      <c r="B5" s="95"/>
      <c r="C5" s="85"/>
      <c r="D5" s="78"/>
      <c r="E5" s="84"/>
      <c r="F5" s="78"/>
      <c r="G5" s="86"/>
      <c r="H5" s="98"/>
      <c r="I5" s="135"/>
    </row>
    <row r="6">
      <c r="A6" s="79"/>
      <c r="B6" s="95"/>
      <c r="C6" s="85"/>
      <c r="D6" s="78"/>
      <c r="E6" s="84"/>
      <c r="F6" s="78"/>
      <c r="G6" s="86"/>
      <c r="H6" s="98"/>
      <c r="I6" s="135"/>
    </row>
    <row r="7">
      <c r="A7" s="79"/>
      <c r="B7" s="95"/>
      <c r="C7" s="85"/>
      <c r="D7" s="78"/>
      <c r="E7" s="84"/>
      <c r="F7" s="78"/>
      <c r="G7" s="86"/>
      <c r="H7" s="98"/>
      <c r="I7" s="135"/>
    </row>
    <row r="8">
      <c r="A8" s="79"/>
      <c r="B8" s="95"/>
      <c r="C8" s="85"/>
      <c r="D8" s="78"/>
      <c r="E8" s="84"/>
      <c r="F8" s="78"/>
      <c r="G8" s="86"/>
      <c r="H8" s="98"/>
      <c r="I8" s="135"/>
    </row>
    <row r="9">
      <c r="A9" s="79"/>
      <c r="B9" s="95"/>
      <c r="C9" s="85"/>
      <c r="D9" s="78"/>
      <c r="E9" s="84"/>
      <c r="F9" s="78"/>
      <c r="G9" s="86"/>
      <c r="H9" s="98"/>
      <c r="I9" s="135"/>
    </row>
    <row r="10">
      <c r="A10" s="79"/>
      <c r="B10" s="95"/>
      <c r="C10" s="85"/>
      <c r="D10" s="78"/>
      <c r="E10" s="84"/>
      <c r="F10" s="78"/>
      <c r="G10" s="86"/>
      <c r="H10" s="98"/>
      <c r="I10" s="135"/>
    </row>
    <row r="11">
      <c r="A11" s="79"/>
      <c r="B11" s="95"/>
      <c r="C11" s="85"/>
      <c r="D11" s="78"/>
      <c r="E11" s="84"/>
      <c r="F11" s="78"/>
      <c r="G11" s="86"/>
      <c r="H11" s="98"/>
      <c r="I11" s="135"/>
    </row>
    <row r="12">
      <c r="A12" s="79"/>
      <c r="B12" s="95"/>
      <c r="C12" s="85"/>
      <c r="D12" s="78"/>
      <c r="E12" s="84"/>
      <c r="F12" s="78"/>
      <c r="G12" s="86"/>
      <c r="H12" s="98"/>
      <c r="I12" s="135"/>
    </row>
    <row r="13">
      <c r="A13" s="79"/>
      <c r="B13" s="95"/>
      <c r="C13" s="85"/>
      <c r="D13" s="78"/>
      <c r="E13" s="84"/>
      <c r="F13" s="78"/>
      <c r="G13" s="86"/>
      <c r="H13" s="98"/>
      <c r="I13" s="135"/>
    </row>
    <row r="14">
      <c r="A14" s="79"/>
      <c r="B14" s="95"/>
      <c r="C14" s="85"/>
      <c r="D14" s="78"/>
      <c r="E14" s="84"/>
      <c r="F14" s="78"/>
      <c r="G14" s="86"/>
      <c r="H14" s="98"/>
      <c r="I14" s="135"/>
    </row>
  </sheetData>
  <conditionalFormatting sqref="A2:H14">
    <cfRule type="expression" dxfId="2" priority="1">
      <formula>$AU2 = "FAIL"</formula>
    </cfRule>
  </conditionalFormatting>
  <conditionalFormatting sqref="A2:H14">
    <cfRule type="expression" dxfId="3" priority="2">
      <formula>$J2="BARRED"</formula>
    </cfRule>
  </conditionalFormatting>
  <drawing r:id="rId1"/>
</worksheet>
</file>