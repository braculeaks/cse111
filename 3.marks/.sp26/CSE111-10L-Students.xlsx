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heet" sheetId="1" r:id="rId5"/>
    <sheet state="visible" name="Lab Eaxm" sheetId="2" r:id="rId6"/>
    <sheet state="visible" name="Consultations" sheetId="3" r:id="rId7"/>
  </sheets>
  <definedNames/>
  <calcPr/>
</workbook>
</file>

<file path=xl/sharedStrings.xml><?xml version="1.0" encoding="utf-8"?>
<sst xmlns="http://schemas.openxmlformats.org/spreadsheetml/2006/main" count="5" uniqueCount="5">
  <si>
    <t>Sec10</t>
  </si>
  <si>
    <t>1AZcQoO8TA6BX2o2JqxLbY_T1Wb5GP_crbWAiC0Tdn4c</t>
  </si>
  <si>
    <t>Exam Date</t>
  </si>
  <si>
    <t>Syllabus</t>
  </si>
  <si>
    <t>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</si>
</sst>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&quot; &quot;"/>
    <numFmt numFmtId="165" formatCode="d&quot; &quot;mmm"/>
    <numFmt numFmtId="166" formatCode="d&quot; &quot;mmm&quot;, &quot;yyyy"/>
    <numFmt numFmtId="167" formatCode="&quot;Theory:&quot;  ##"/>
  </numFmts>
  <fonts count="26">
    <font>
      <sz val="10.0"/>
      <color rgb="FF000000"/>
      <name val="Arial"/>
      <scheme val="minor"/>
    </font>
    <font>
      <b/>
      <sz val="18.0"/>
      <color theme="1"/>
      <name val="Lora"/>
    </font>
    <font>
      <b/>
      <sz val="15.0"/>
      <color rgb="FFFFFFFF"/>
      <name val="Lora"/>
    </font>
    <font>
      <color theme="1"/>
      <name val="Arial"/>
    </font>
    <font>
      <b/>
      <color theme="1"/>
      <name val="Lora"/>
    </font>
    <font>
      <color theme="1"/>
      <name val="Arial"/>
      <scheme val="minor"/>
    </font>
    <font>
      <sz val="10.0"/>
      <color rgb="FFFFFFFF"/>
      <name val="Consolas"/>
    </font>
    <font>
      <b/>
      <sz val="15.0"/>
      <color theme="1"/>
      <name val="Lora"/>
    </font>
    <font>
      <b/>
      <sz val="15.0"/>
      <color rgb="FF0000FF"/>
      <name val="Lora"/>
    </font>
    <font>
      <b/>
      <color theme="1"/>
      <name val="Arial"/>
    </font>
    <font>
      <b/>
      <sz val="12.0"/>
      <color theme="1"/>
      <name val="Arial"/>
    </font>
    <font/>
    <font>
      <b/>
      <sz val="12.0"/>
      <color rgb="FFFFFFFF"/>
      <name val="Arial"/>
    </font>
    <font>
      <b/>
      <sz val="13.0"/>
      <color theme="1"/>
      <name val="Arial"/>
    </font>
    <font>
      <b/>
      <sz val="11.0"/>
      <color theme="1"/>
      <name val="Arial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b/>
      <sz val="9.0"/>
      <color theme="1"/>
      <name val="Arial"/>
    </font>
    <font>
      <b/>
      <sz val="10.0"/>
      <color theme="1"/>
      <name val="Arial"/>
    </font>
    <font>
      <sz val="9.0"/>
      <color theme="1"/>
      <name val="Arial"/>
      <scheme val="minor"/>
    </font>
    <font>
      <color theme="1"/>
      <name val="Inconsolata"/>
    </font>
    <font>
      <b/>
      <sz val="14.0"/>
      <color theme="1"/>
      <name val="Inconsolata"/>
    </font>
    <font>
      <sz val="12.0"/>
      <color theme="1"/>
      <name val="Inconsolata"/>
    </font>
    <font>
      <u/>
      <sz val="12.0"/>
      <color rgb="FF0000FF"/>
      <name val="Inconsolata"/>
    </font>
    <font>
      <u/>
      <color rgb="FF0000FF"/>
    </font>
    <font>
      <sz val="14.0"/>
      <color theme="1"/>
      <name val="Inconsolata"/>
    </font>
  </fonts>
  <fills count="18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0E0E3"/>
        <bgColor rgb="FFD0E0E3"/>
      </patternFill>
    </fill>
    <fill>
      <patternFill patternType="solid">
        <fgColor rgb="FFB4D4D8"/>
        <bgColor rgb="FFB4D4D8"/>
      </patternFill>
    </fill>
    <fill>
      <patternFill patternType="solid">
        <fgColor rgb="FFD9EAD3"/>
        <bgColor rgb="FFD9EAD3"/>
      </patternFill>
    </fill>
    <fill>
      <patternFill patternType="solid">
        <fgColor rgb="FFC9E6BC"/>
        <bgColor rgb="FFC9E6BC"/>
      </patternFill>
    </fill>
    <fill>
      <patternFill patternType="solid">
        <fgColor rgb="FFBDD4D7"/>
        <bgColor rgb="FFBDD4D7"/>
      </patternFill>
    </fill>
    <fill>
      <patternFill patternType="solid">
        <fgColor rgb="FFA2C4C9"/>
        <bgColor rgb="FFA2C4C9"/>
      </patternFill>
    </fill>
    <fill>
      <patternFill patternType="solid">
        <fgColor rgb="FFEFEFEF"/>
        <bgColor rgb="FFEFEFEF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DD7E6B"/>
        <bgColor rgb="FFDD7E6B"/>
      </patternFill>
    </fill>
  </fills>
  <borders count="81">
    <border/>
    <border>
      <right style="thick">
        <color rgb="FF000000"/>
      </righ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top style="thick">
        <color rgb="FF000000"/>
      </top>
      <bottom style="medium">
        <color rgb="FFFFFFFF"/>
      </bottom>
    </border>
    <border>
      <top style="thick">
        <color rgb="FF000000"/>
      </top>
      <bottom style="medium">
        <color rgb="FFFFFFFF"/>
      </bottom>
    </border>
    <border>
      <right style="thick">
        <color rgb="FF000000"/>
      </right>
      <top style="thick">
        <color rgb="FF000000"/>
      </top>
      <bottom style="medium">
        <color rgb="FFFFFFFF"/>
      </bottom>
    </border>
    <border>
      <left style="thick">
        <color rgb="FF000000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thick">
        <color rgb="FF000000"/>
      </right>
      <top style="medium">
        <color rgb="FFFFFFFF"/>
      </top>
      <bottom style="medium">
        <color rgb="FFFFFFFF"/>
      </bottom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</border>
    <border>
      <left style="medium">
        <color rgb="FFFFFFFF"/>
      </left>
      <top style="medium">
        <color rgb="FF000000"/>
      </top>
      <bottom style="medium">
        <color rgb="FFFFFFFF"/>
      </bottom>
    </border>
    <border>
      <top style="medium">
        <color rgb="FF000000"/>
      </top>
      <bottom style="medium">
        <color rgb="FFFFFFFF"/>
      </bottom>
    </border>
    <border>
      <right style="medium">
        <color rgb="FFFFFFFF"/>
      </right>
      <top style="medium">
        <color rgb="FF000000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FFFFF"/>
      </bottom>
    </border>
    <border>
      <left style="medium">
        <color rgb="FFFFFFFF"/>
      </left>
      <right style="medium">
        <color rgb="FF000000"/>
      </right>
      <top style="medium">
        <color rgb="FF000000"/>
      </top>
      <bottom style="medium">
        <color rgb="FFFFFFFF"/>
      </bottom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000000"/>
      </bottom>
    </border>
    <border>
      <left style="medium">
        <color rgb="FFFFFFFF"/>
      </left>
      <top style="medium">
        <color rgb="FFFFFFFF"/>
      </top>
      <bottom style="medium">
        <color rgb="FF000000"/>
      </bottom>
    </border>
    <border>
      <top style="medium">
        <color rgb="FFFFFFFF"/>
      </top>
      <bottom style="medium">
        <color rgb="FF000000"/>
      </bottom>
    </border>
    <border>
      <right style="medium">
        <color rgb="FFFFFFFF"/>
      </right>
      <top style="medium">
        <color rgb="FFFFFFFF"/>
      </top>
      <bottom style="medium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000000"/>
      </bottom>
    </border>
    <border>
      <left style="thick">
        <color rgb="FF000000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thick">
        <color rgb="FF000000"/>
      </right>
      <top style="medium">
        <color rgb="FFFFFFFF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n">
        <color rgb="FFFFFFFF"/>
      </bottom>
    </border>
    <border>
      <bottom style="thin">
        <color rgb="FFFFFFFF"/>
      </bottom>
    </border>
    <border>
      <right style="thick">
        <color rgb="FF000000"/>
      </right>
      <bottom style="thin">
        <color rgb="FFFFFFFF"/>
      </bottom>
    </border>
    <border>
      <left style="thick">
        <color rgb="FF000000"/>
      </left>
      <top style="thin">
        <color rgb="FFFFFFFF"/>
      </top>
      <bottom style="thick">
        <color rgb="FF000000"/>
      </bottom>
    </border>
    <border>
      <top style="thin">
        <color rgb="FFFFFFFF"/>
      </top>
      <bottom style="thick">
        <color rgb="FF000000"/>
      </bottom>
    </border>
    <border>
      <right style="thick">
        <color rgb="FF000000"/>
      </right>
      <top style="thin">
        <color rgb="FFFFFFFF"/>
      </top>
      <bottom style="thick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vertical="center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2" fillId="0" fontId="7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4" fillId="0" fontId="11" numFmtId="0" xfId="0" applyBorder="1" applyFont="1"/>
    <xf borderId="5" fillId="0" fontId="11" numFmtId="0" xfId="0" applyBorder="1" applyFont="1"/>
    <xf borderId="3" fillId="0" fontId="10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6" fillId="2" fontId="12" numFmtId="0" xfId="0" applyAlignment="1" applyBorder="1" applyFill="1" applyFont="1">
      <alignment horizontal="center" shrinkToFit="0" vertical="center" wrapText="1"/>
    </xf>
    <xf borderId="3" fillId="3" fontId="10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7" fillId="3" fontId="13" numFmtId="0" xfId="0" applyAlignment="1" applyBorder="1" applyFont="1">
      <alignment horizontal="center" shrinkToFit="0" vertical="center" wrapText="1"/>
    </xf>
    <xf borderId="8" fillId="3" fontId="13" numFmtId="0" xfId="0" applyAlignment="1" applyBorder="1" applyFont="1">
      <alignment horizontal="center" shrinkToFit="0" vertical="center" wrapText="1"/>
    </xf>
    <xf borderId="9" fillId="4" fontId="9" numFmtId="0" xfId="0" applyAlignment="1" applyBorder="1" applyFill="1" applyFont="1">
      <alignment horizontal="center" shrinkToFit="0" vertical="center" wrapText="1"/>
    </xf>
    <xf borderId="10" fillId="4" fontId="9" numFmtId="0" xfId="0" applyAlignment="1" applyBorder="1" applyFont="1">
      <alignment horizontal="center" shrinkToFit="0" vertical="center" wrapText="1"/>
    </xf>
    <xf borderId="8" fillId="4" fontId="14" numFmtId="0" xfId="0" applyAlignment="1" applyBorder="1" applyFont="1">
      <alignment horizontal="center" shrinkToFit="0" vertical="center" wrapText="1"/>
    </xf>
    <xf borderId="11" fillId="5" fontId="9" numFmtId="0" xfId="0" applyAlignment="1" applyBorder="1" applyFill="1" applyFont="1">
      <alignment horizontal="center" readingOrder="0" shrinkToFit="0" vertical="center" wrapText="1"/>
    </xf>
    <xf borderId="12" fillId="5" fontId="9" numFmtId="0" xfId="0" applyAlignment="1" applyBorder="1" applyFont="1">
      <alignment horizontal="center" readingOrder="0" shrinkToFit="0" vertical="center" wrapText="1"/>
    </xf>
    <xf borderId="13" fillId="6" fontId="9" numFmtId="0" xfId="0" applyAlignment="1" applyBorder="1" applyFill="1" applyFont="1">
      <alignment horizontal="center" readingOrder="0" shrinkToFit="0" vertical="center" wrapText="1"/>
    </xf>
    <xf borderId="11" fillId="7" fontId="9" numFmtId="0" xfId="0" applyAlignment="1" applyBorder="1" applyFill="1" applyFont="1">
      <alignment horizontal="center" shrinkToFit="0" vertical="center" wrapText="1"/>
    </xf>
    <xf borderId="12" fillId="7" fontId="9" numFmtId="0" xfId="0" applyAlignment="1" applyBorder="1" applyFont="1">
      <alignment horizontal="center" shrinkToFit="0" vertical="center" wrapText="1"/>
    </xf>
    <xf borderId="13" fillId="8" fontId="9" numFmtId="0" xfId="0" applyAlignment="1" applyBorder="1" applyFill="1" applyFont="1">
      <alignment horizontal="center" shrinkToFit="0" vertical="center" wrapText="1"/>
    </xf>
    <xf borderId="14" fillId="8" fontId="9" numFmtId="0" xfId="0" applyAlignment="1" applyBorder="1" applyFont="1">
      <alignment horizontal="center" shrinkToFit="0" vertical="center" wrapText="1"/>
    </xf>
    <xf borderId="0" fillId="9" fontId="14" numFmtId="0" xfId="0" applyAlignment="1" applyFill="1" applyFont="1">
      <alignment horizontal="center" readingOrder="0" shrinkToFit="0" vertical="center" wrapText="1"/>
    </xf>
    <xf borderId="15" fillId="9" fontId="14" numFmtId="0" xfId="0" applyAlignment="1" applyBorder="1" applyFont="1">
      <alignment horizontal="center" readingOrder="0" shrinkToFit="0" vertical="center" wrapText="1"/>
    </xf>
    <xf borderId="15" fillId="10" fontId="14" numFmtId="0" xfId="0" applyAlignment="1" applyBorder="1" applyFill="1" applyFont="1">
      <alignment horizontal="center" readingOrder="0" shrinkToFit="0" vertical="center" wrapText="1"/>
    </xf>
    <xf borderId="16" fillId="10" fontId="14" numFmtId="164" xfId="0" applyAlignment="1" applyBorder="1" applyFont="1" applyNumberFormat="1">
      <alignment horizontal="center" readingOrder="0" shrinkToFit="0" vertical="center" wrapText="1"/>
    </xf>
    <xf borderId="17" fillId="11" fontId="10" numFmtId="164" xfId="0" applyAlignment="1" applyBorder="1" applyFill="1" applyFont="1" applyNumberFormat="1">
      <alignment horizontal="center" shrinkToFit="0" vertical="center" wrapText="1"/>
    </xf>
    <xf borderId="18" fillId="11" fontId="10" numFmtId="164" xfId="0" applyAlignment="1" applyBorder="1" applyFont="1" applyNumberFormat="1">
      <alignment horizontal="center" shrinkToFit="0" vertical="center" wrapText="1"/>
    </xf>
    <xf borderId="18" fillId="12" fontId="10" numFmtId="164" xfId="0" applyAlignment="1" applyBorder="1" applyFill="1" applyFont="1" applyNumberFormat="1">
      <alignment horizontal="center" shrinkToFit="0" vertical="center" wrapText="1"/>
    </xf>
    <xf borderId="19" fillId="12" fontId="10" numFmtId="164" xfId="0" applyAlignment="1" applyBorder="1" applyFont="1" applyNumberFormat="1">
      <alignment horizontal="center" shrinkToFit="0" vertical="center" wrapText="1"/>
    </xf>
    <xf borderId="20" fillId="2" fontId="12" numFmtId="0" xfId="0" applyAlignment="1" applyBorder="1" applyFont="1">
      <alignment horizontal="center" readingOrder="0" shrinkToFit="0" vertical="center" wrapText="1"/>
    </xf>
    <xf borderId="21" fillId="13" fontId="14" numFmtId="0" xfId="0" applyAlignment="1" applyBorder="1" applyFill="1" applyFont="1">
      <alignment horizontal="center" shrinkToFit="0" vertical="center" wrapText="1"/>
    </xf>
    <xf borderId="21" fillId="13" fontId="14" numFmtId="164" xfId="0" applyAlignment="1" applyBorder="1" applyFont="1" applyNumberFormat="1">
      <alignment horizontal="center" readingOrder="0" shrinkToFit="0" vertical="center" wrapText="1"/>
    </xf>
    <xf borderId="19" fillId="14" fontId="10" numFmtId="164" xfId="0" applyAlignment="1" applyBorder="1" applyFill="1" applyFont="1" applyNumberFormat="1">
      <alignment horizontal="center" shrinkToFit="0" vertical="center" wrapText="1"/>
    </xf>
    <xf borderId="22" fillId="0" fontId="11" numFmtId="0" xfId="0" applyBorder="1" applyFont="1"/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26" fillId="0" fontId="11" numFmtId="0" xfId="0" applyBorder="1" applyFont="1"/>
    <xf borderId="27" fillId="5" fontId="9" numFmtId="165" xfId="0" applyAlignment="1" applyBorder="1" applyFont="1" applyNumberFormat="1">
      <alignment horizontal="center" shrinkToFit="0" vertical="center" wrapText="0"/>
    </xf>
    <xf borderId="28" fillId="5" fontId="9" numFmtId="165" xfId="0" applyAlignment="1" applyBorder="1" applyFont="1" applyNumberFormat="1">
      <alignment horizontal="center" shrinkToFit="0" vertical="center" wrapText="0"/>
    </xf>
    <xf borderId="29" fillId="6" fontId="9" numFmtId="165" xfId="0" applyAlignment="1" applyBorder="1" applyFont="1" applyNumberFormat="1">
      <alignment horizontal="center" shrinkToFit="0" vertical="center" wrapText="0"/>
    </xf>
    <xf borderId="29" fillId="6" fontId="9" numFmtId="165" xfId="0" applyAlignment="1" applyBorder="1" applyFont="1" applyNumberFormat="1">
      <alignment horizontal="center" readingOrder="0" shrinkToFit="0" vertical="center" wrapText="0"/>
    </xf>
    <xf borderId="1" fillId="6" fontId="9" numFmtId="165" xfId="0" applyAlignment="1" applyBorder="1" applyFont="1" applyNumberFormat="1">
      <alignment horizontal="center" shrinkToFit="0" vertical="center" wrapText="0"/>
    </xf>
    <xf borderId="27" fillId="7" fontId="9" numFmtId="165" xfId="0" applyAlignment="1" applyBorder="1" applyFont="1" applyNumberFormat="1">
      <alignment horizontal="center" shrinkToFit="0" vertical="center" wrapText="0"/>
    </xf>
    <xf borderId="28" fillId="7" fontId="9" numFmtId="165" xfId="0" applyAlignment="1" applyBorder="1" applyFont="1" applyNumberFormat="1">
      <alignment horizontal="center" shrinkToFit="0" vertical="center" wrapText="0"/>
    </xf>
    <xf borderId="29" fillId="8" fontId="9" numFmtId="165" xfId="0" applyAlignment="1" applyBorder="1" applyFont="1" applyNumberFormat="1">
      <alignment horizontal="center" shrinkToFit="0" vertical="center" wrapText="0"/>
    </xf>
    <xf borderId="1" fillId="8" fontId="9" numFmtId="165" xfId="0" applyAlignment="1" applyBorder="1" applyFont="1" applyNumberFormat="1">
      <alignment horizontal="center" shrinkToFit="0" vertical="center" wrapText="0"/>
    </xf>
    <xf borderId="30" fillId="9" fontId="3" numFmtId="164" xfId="0" applyAlignment="1" applyBorder="1" applyFont="1" applyNumberFormat="1">
      <alignment vertical="center"/>
    </xf>
    <xf borderId="30" fillId="10" fontId="3" numFmtId="164" xfId="0" applyAlignment="1" applyBorder="1" applyFont="1" applyNumberFormat="1">
      <alignment vertical="center"/>
    </xf>
    <xf borderId="31" fillId="11" fontId="9" numFmtId="165" xfId="0" applyAlignment="1" applyBorder="1" applyFont="1" applyNumberFormat="1">
      <alignment horizontal="center" shrinkToFit="0" vertical="center" wrapText="1"/>
    </xf>
    <xf borderId="31" fillId="12" fontId="9" numFmtId="165" xfId="0" applyAlignment="1" applyBorder="1" applyFont="1" applyNumberFormat="1">
      <alignment horizontal="center" shrinkToFit="0" vertical="center" wrapText="1"/>
    </xf>
    <xf borderId="1" fillId="12" fontId="9" numFmtId="165" xfId="0" applyAlignment="1" applyBorder="1" applyFont="1" applyNumberFormat="1">
      <alignment horizontal="center" shrinkToFit="0" vertical="center" wrapText="1"/>
    </xf>
    <xf borderId="0" fillId="2" fontId="12" numFmtId="0" xfId="0" applyAlignment="1" applyFont="1">
      <alignment horizontal="center" shrinkToFit="0" vertical="center" wrapText="1"/>
    </xf>
    <xf borderId="27" fillId="13" fontId="10" numFmtId="0" xfId="0" applyAlignment="1" applyBorder="1" applyFont="1">
      <alignment horizontal="center" shrinkToFit="0" vertical="center" wrapText="1"/>
    </xf>
    <xf borderId="27" fillId="15" fontId="10" numFmtId="0" xfId="0" applyAlignment="1" applyBorder="1" applyFill="1" applyFont="1">
      <alignment horizontal="center" shrinkToFit="0" vertical="center" wrapText="1"/>
    </xf>
    <xf borderId="3" fillId="16" fontId="9" numFmtId="0" xfId="0" applyAlignment="1" applyBorder="1" applyFill="1" applyFont="1">
      <alignment horizontal="center" vertical="center"/>
    </xf>
    <xf borderId="3" fillId="16" fontId="9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32" fillId="0" fontId="15" numFmtId="0" xfId="0" applyAlignment="1" applyBorder="1" applyFont="1">
      <alignment horizontal="center" readingOrder="0" vertical="center"/>
    </xf>
    <xf borderId="32" fillId="0" fontId="15" numFmtId="0" xfId="0" applyAlignment="1" applyBorder="1" applyFont="1">
      <alignment horizontal="center" vertical="center"/>
    </xf>
    <xf borderId="32" fillId="0" fontId="16" numFmtId="0" xfId="0" applyAlignment="1" applyBorder="1" applyFont="1">
      <alignment vertical="center"/>
    </xf>
    <xf borderId="1" fillId="17" fontId="17" numFmtId="0" xfId="0" applyAlignment="1" applyBorder="1" applyFill="1" applyFont="1">
      <alignment horizontal="center" shrinkToFit="0" vertical="center" wrapText="1"/>
    </xf>
    <xf borderId="33" fillId="0" fontId="17" numFmtId="0" xfId="0" applyAlignment="1" applyBorder="1" applyFont="1">
      <alignment horizontal="center" shrinkToFit="0" vertical="center" wrapText="1"/>
    </xf>
    <xf borderId="34" fillId="0" fontId="9" numFmtId="0" xfId="0" applyAlignment="1" applyBorder="1" applyFont="1">
      <alignment horizontal="center" shrinkToFit="0" vertical="center" wrapText="1"/>
    </xf>
    <xf borderId="33" fillId="0" fontId="15" numFmtId="0" xfId="0" applyAlignment="1" applyBorder="1" applyFont="1">
      <alignment horizontal="center" vertical="center"/>
    </xf>
    <xf borderId="32" fillId="0" fontId="15" numFmtId="0" xfId="0" applyAlignment="1" applyBorder="1" applyFont="1">
      <alignment horizontal="center" readingOrder="0" shrinkToFit="0" vertical="center" wrapText="1"/>
    </xf>
    <xf borderId="35" fillId="0" fontId="15" numFmtId="0" xfId="0" applyAlignment="1" applyBorder="1" applyFont="1">
      <alignment horizontal="center" readingOrder="0" shrinkToFit="0" vertical="center" wrapText="1"/>
    </xf>
    <xf borderId="36" fillId="0" fontId="15" numFmtId="0" xfId="0" applyAlignment="1" applyBorder="1" applyFont="1">
      <alignment horizontal="center" vertical="center"/>
    </xf>
    <xf borderId="32" fillId="0" fontId="15" numFmtId="0" xfId="0" applyAlignment="1" applyBorder="1" applyFont="1">
      <alignment horizontal="center" vertical="center"/>
    </xf>
    <xf borderId="34" fillId="0" fontId="15" numFmtId="0" xfId="0" applyAlignment="1" applyBorder="1" applyFont="1">
      <alignment horizontal="center" readingOrder="0" shrinkToFit="0" vertical="center" wrapText="1"/>
    </xf>
    <xf borderId="33" fillId="0" fontId="15" numFmtId="2" xfId="0" applyAlignment="1" applyBorder="1" applyFont="1" applyNumberFormat="1">
      <alignment horizontal="center" readingOrder="0" vertical="center"/>
    </xf>
    <xf borderId="32" fillId="0" fontId="15" numFmtId="2" xfId="0" applyAlignment="1" applyBorder="1" applyFont="1" applyNumberFormat="1">
      <alignment horizontal="center" readingOrder="0" vertical="center"/>
    </xf>
    <xf borderId="34" fillId="0" fontId="15" numFmtId="2" xfId="0" applyAlignment="1" applyBorder="1" applyFont="1" applyNumberFormat="1">
      <alignment horizontal="center" readingOrder="0" vertical="center"/>
    </xf>
    <xf borderId="35" fillId="0" fontId="17" numFmtId="2" xfId="0" applyAlignment="1" applyBorder="1" applyFont="1" applyNumberFormat="1">
      <alignment horizontal="center" vertical="center"/>
    </xf>
    <xf borderId="36" fillId="0" fontId="15" numFmtId="0" xfId="0" applyAlignment="1" applyBorder="1" applyFont="1">
      <alignment horizontal="center" readingOrder="0" vertical="center"/>
    </xf>
    <xf borderId="34" fillId="0" fontId="15" numFmtId="49" xfId="0" applyAlignment="1" applyBorder="1" applyFont="1" applyNumberFormat="1">
      <alignment horizontal="center" readingOrder="0" shrinkToFit="0" vertical="center" wrapText="1"/>
    </xf>
    <xf borderId="37" fillId="0" fontId="18" numFmtId="49" xfId="0" applyAlignment="1" applyBorder="1" applyFont="1" applyNumberFormat="1">
      <alignment horizontal="center" vertical="center"/>
    </xf>
    <xf borderId="36" fillId="0" fontId="18" numFmtId="0" xfId="0" applyAlignment="1" applyBorder="1" applyFont="1">
      <alignment horizontal="center" vertical="center"/>
    </xf>
    <xf borderId="32" fillId="0" fontId="18" numFmtId="0" xfId="0" applyAlignment="1" applyBorder="1" applyFont="1">
      <alignment horizontal="center" vertical="center"/>
    </xf>
    <xf borderId="34" fillId="0" fontId="18" numFmtId="0" xfId="0" applyAlignment="1" applyBorder="1" applyFont="1">
      <alignment horizontal="center" vertical="center"/>
    </xf>
    <xf borderId="38" fillId="15" fontId="10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vertical="center"/>
    </xf>
    <xf borderId="33" fillId="0" fontId="15" numFmtId="2" xfId="0" applyAlignment="1" applyBorder="1" applyFont="1" applyNumberFormat="1">
      <alignment horizontal="center" vertical="center"/>
    </xf>
    <xf borderId="32" fillId="0" fontId="15" numFmtId="2" xfId="0" applyAlignment="1" applyBorder="1" applyFont="1" applyNumberFormat="1">
      <alignment horizontal="center" vertical="center"/>
    </xf>
    <xf borderId="34" fillId="0" fontId="15" numFmtId="2" xfId="0" applyAlignment="1" applyBorder="1" applyFont="1" applyNumberFormat="1">
      <alignment horizontal="center" vertical="center"/>
    </xf>
    <xf borderId="33" fillId="0" fontId="15" numFmtId="0" xfId="0" applyAlignment="1" applyBorder="1" applyFont="1">
      <alignment horizontal="center" readingOrder="0" vertical="center"/>
    </xf>
    <xf borderId="34" fillId="0" fontId="15" numFmtId="0" xfId="0" applyAlignment="1" applyBorder="1" applyFont="1">
      <alignment horizontal="center" vertical="center"/>
    </xf>
    <xf borderId="35" fillId="0" fontId="17" numFmtId="0" xfId="0" applyAlignment="1" applyBorder="1" applyFont="1">
      <alignment horizontal="center" vertical="center"/>
    </xf>
    <xf borderId="39" fillId="0" fontId="18" numFmtId="0" xfId="0" applyAlignment="1" applyBorder="1" applyFont="1">
      <alignment horizontal="center" vertical="center"/>
    </xf>
    <xf borderId="40" fillId="0" fontId="18" numFmtId="0" xfId="0" applyAlignment="1" applyBorder="1" applyFont="1">
      <alignment horizontal="center" vertical="center"/>
    </xf>
    <xf borderId="0" fillId="0" fontId="19" numFmtId="0" xfId="0" applyAlignment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27" fillId="0" fontId="17" numFmtId="0" xfId="0" applyAlignment="1" applyBorder="1" applyFont="1">
      <alignment horizontal="center" shrinkToFit="0" vertical="center" wrapText="1"/>
    </xf>
    <xf borderId="41" fillId="0" fontId="15" numFmtId="0" xfId="0" applyAlignment="1" applyBorder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vertical="center"/>
    </xf>
    <xf borderId="0" fillId="0" fontId="18" numFmtId="49" xfId="0" applyAlignment="1" applyFont="1" applyNumberFormat="1">
      <alignment horizontal="center" vertical="center"/>
    </xf>
    <xf borderId="42" fillId="0" fontId="18" numFmtId="0" xfId="0" applyAlignment="1" applyBorder="1" applyFont="1">
      <alignment horizontal="center" vertical="center"/>
    </xf>
    <xf borderId="43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41" fillId="0" fontId="18" numFmtId="0" xfId="0" applyAlignment="1" applyBorder="1" applyFont="1">
      <alignment horizontal="center" vertical="center"/>
    </xf>
    <xf borderId="0" fillId="0" fontId="20" numFmtId="0" xfId="0" applyFont="1"/>
    <xf borderId="0" fillId="0" fontId="21" numFmtId="0" xfId="0" applyAlignment="1" applyFont="1">
      <alignment horizontal="center" vertical="center"/>
    </xf>
    <xf borderId="32" fillId="0" fontId="21" numFmtId="0" xfId="0" applyAlignment="1" applyBorder="1" applyFont="1">
      <alignment horizontal="center" vertical="center"/>
    </xf>
    <xf borderId="32" fillId="0" fontId="21" numFmtId="0" xfId="0" applyAlignment="1" applyBorder="1" applyFont="1">
      <alignment horizontal="center" readingOrder="0" vertical="center"/>
    </xf>
    <xf borderId="32" fillId="0" fontId="21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vertical="center"/>
    </xf>
    <xf borderId="32" fillId="0" fontId="22" numFmtId="164" xfId="0" applyAlignment="1" applyBorder="1" applyFont="1" applyNumberFormat="1">
      <alignment horizontal="center" vertical="center"/>
    </xf>
    <xf borderId="32" fillId="0" fontId="22" numFmtId="0" xfId="0" applyAlignment="1" applyBorder="1" applyFont="1">
      <alignment horizontal="center" shrinkToFit="0" vertical="center" wrapText="1"/>
    </xf>
    <xf borderId="32" fillId="0" fontId="23" numFmtId="0" xfId="0" applyAlignment="1" applyBorder="1" applyFont="1">
      <alignment horizontal="center" shrinkToFit="0" vertical="center" wrapText="1"/>
    </xf>
    <xf borderId="0" fillId="0" fontId="5" numFmtId="164" xfId="0" applyAlignment="1" applyFont="1" applyNumberFormat="1">
      <alignment vertical="center"/>
    </xf>
    <xf borderId="0" fillId="0" fontId="5" numFmtId="0" xfId="0" applyAlignment="1" applyFont="1">
      <alignment readingOrder="0" vertical="center"/>
    </xf>
    <xf borderId="0" fillId="0" fontId="24" numFmtId="0" xfId="0" applyAlignment="1" applyFont="1">
      <alignment vertical="center"/>
    </xf>
    <xf borderId="32" fillId="0" fontId="22" numFmtId="166" xfId="0" applyAlignment="1" applyBorder="1" applyFont="1" applyNumberFormat="1">
      <alignment horizontal="center" shrinkToFit="0" vertical="center" wrapText="1"/>
    </xf>
    <xf borderId="0" fillId="0" fontId="5" numFmtId="166" xfId="0" applyAlignment="1" applyFont="1" applyNumberFormat="1">
      <alignment vertical="center"/>
    </xf>
    <xf borderId="0" fillId="0" fontId="22" numFmtId="0" xfId="0" applyAlignment="1" applyFont="1">
      <alignment horizontal="center"/>
    </xf>
    <xf borderId="0" fillId="0" fontId="22" numFmtId="0" xfId="0" applyFont="1"/>
    <xf borderId="0" fillId="0" fontId="5" numFmtId="0" xfId="0" applyFont="1"/>
    <xf borderId="0" fillId="0" fontId="3" numFmtId="0" xfId="0" applyAlignment="1" applyFont="1">
      <alignment vertical="bottom"/>
    </xf>
    <xf borderId="44" fillId="0" fontId="25" numFmtId="0" xfId="0" applyAlignment="1" applyBorder="1" applyFont="1">
      <alignment vertical="center"/>
    </xf>
    <xf borderId="45" fillId="0" fontId="11" numFmtId="0" xfId="0" applyBorder="1" applyFont="1"/>
    <xf borderId="46" fillId="0" fontId="11" numFmtId="0" xfId="0" applyBorder="1" applyFont="1"/>
    <xf borderId="47" fillId="0" fontId="21" numFmtId="0" xfId="0" applyAlignment="1" applyBorder="1" applyFont="1">
      <alignment horizontal="center" readingOrder="0" shrinkToFit="0" vertical="center" wrapText="1"/>
    </xf>
    <xf borderId="48" fillId="0" fontId="11" numFmtId="0" xfId="0" applyBorder="1" applyFont="1"/>
    <xf borderId="49" fillId="0" fontId="11" numFmtId="0" xfId="0" applyBorder="1" applyFont="1"/>
    <xf borderId="47" fillId="0" fontId="25" numFmtId="0" xfId="0" applyAlignment="1" applyBorder="1" applyFont="1">
      <alignment vertical="center"/>
    </xf>
    <xf borderId="50" fillId="0" fontId="25" numFmtId="167" xfId="0" applyAlignment="1" applyBorder="1" applyFont="1" applyNumberFormat="1">
      <alignment shrinkToFit="0" vertical="center" wrapText="1"/>
    </xf>
    <xf borderId="51" fillId="0" fontId="21" numFmtId="0" xfId="0" applyAlignment="1" applyBorder="1" applyFont="1">
      <alignment shrinkToFit="0" vertical="center" wrapText="1"/>
    </xf>
    <xf borderId="52" fillId="0" fontId="11" numFmtId="0" xfId="0" applyBorder="1" applyFont="1"/>
    <xf borderId="53" fillId="0" fontId="11" numFmtId="0" xfId="0" applyBorder="1" applyFont="1"/>
    <xf borderId="54" fillId="0" fontId="25" numFmtId="0" xfId="0" applyAlignment="1" applyBorder="1" applyFont="1">
      <alignment shrinkToFit="0" vertical="center" wrapText="1"/>
    </xf>
    <xf borderId="55" fillId="0" fontId="21" numFmtId="0" xfId="0" applyAlignment="1" applyBorder="1" applyFont="1">
      <alignment readingOrder="0" shrinkToFit="0" vertical="center" wrapText="1"/>
    </xf>
    <xf borderId="49" fillId="0" fontId="25" numFmtId="0" xfId="0" applyAlignment="1" applyBorder="1" applyFont="1">
      <alignment vertical="center"/>
    </xf>
    <xf borderId="56" fillId="0" fontId="25" numFmtId="167" xfId="0" applyAlignment="1" applyBorder="1" applyFont="1" applyNumberFormat="1">
      <alignment shrinkToFit="0" vertical="center" wrapText="1"/>
    </xf>
    <xf borderId="57" fillId="0" fontId="21" numFmtId="0" xfId="0" applyAlignment="1" applyBorder="1" applyFont="1">
      <alignment shrinkToFit="0" vertical="center" wrapText="1"/>
    </xf>
    <xf borderId="58" fillId="0" fontId="11" numFmtId="0" xfId="0" applyBorder="1" applyFont="1"/>
    <xf borderId="59" fillId="0" fontId="11" numFmtId="0" xfId="0" applyBorder="1" applyFont="1"/>
    <xf borderId="60" fillId="0" fontId="25" numFmtId="0" xfId="0" applyAlignment="1" applyBorder="1" applyFont="1">
      <alignment shrinkToFit="0" vertical="center" wrapText="1"/>
    </xf>
    <xf borderId="61" fillId="0" fontId="21" numFmtId="0" xfId="0" applyAlignment="1" applyBorder="1" applyFont="1">
      <alignment shrinkToFit="0" vertical="center" wrapText="1"/>
    </xf>
    <xf borderId="62" fillId="0" fontId="25" numFmtId="0" xfId="0" applyAlignment="1" applyBorder="1" applyFont="1">
      <alignment vertical="center"/>
    </xf>
    <xf borderId="63" fillId="0" fontId="25" numFmtId="0" xfId="0" applyAlignment="1" applyBorder="1" applyFont="1">
      <alignment vertical="center"/>
    </xf>
    <xf borderId="63" fillId="0" fontId="25" numFmtId="167" xfId="0" applyAlignment="1" applyBorder="1" applyFont="1" applyNumberFormat="1">
      <alignment vertical="center"/>
    </xf>
    <xf borderId="64" fillId="0" fontId="25" numFmtId="0" xfId="0" applyAlignment="1" applyBorder="1" applyFont="1">
      <alignment vertical="center"/>
    </xf>
    <xf borderId="65" fillId="0" fontId="25" numFmtId="49" xfId="0" applyAlignment="1" applyBorder="1" applyFont="1" applyNumberFormat="1">
      <alignment vertical="center"/>
    </xf>
    <xf borderId="66" fillId="0" fontId="21" numFmtId="49" xfId="0" applyAlignment="1" applyBorder="1" applyFont="1" applyNumberFormat="1">
      <alignment horizontal="center" shrinkToFit="0" vertical="center" wrapText="1"/>
    </xf>
    <xf borderId="67" fillId="0" fontId="21" numFmtId="49" xfId="0" applyAlignment="1" applyBorder="1" applyFont="1" applyNumberFormat="1">
      <alignment horizontal="center" shrinkToFit="0" vertical="center" wrapText="1"/>
    </xf>
    <xf borderId="68" fillId="0" fontId="21" numFmtId="0" xfId="0" applyAlignment="1" applyBorder="1" applyFont="1">
      <alignment horizontal="center" vertical="center"/>
    </xf>
    <xf borderId="65" fillId="0" fontId="22" numFmtId="0" xfId="0" applyAlignment="1" applyBorder="1" applyFont="1">
      <alignment horizontal="center" vertical="center"/>
    </xf>
    <xf borderId="69" fillId="0" fontId="22" numFmtId="0" xfId="0" applyAlignment="1" applyBorder="1" applyFont="1">
      <alignment horizontal="center" vertical="center"/>
    </xf>
    <xf borderId="69" fillId="0" fontId="22" numFmtId="0" xfId="0" applyAlignment="1" applyBorder="1" applyFont="1">
      <alignment horizontal="center" shrinkToFit="0" vertical="center" wrapText="1"/>
    </xf>
    <xf borderId="70" fillId="0" fontId="22" numFmtId="0" xfId="0" applyAlignment="1" applyBorder="1" applyFont="1">
      <alignment horizontal="center" vertical="center"/>
    </xf>
    <xf borderId="33" fillId="0" fontId="22" numFmtId="0" xfId="0" applyAlignment="1" applyBorder="1" applyFont="1">
      <alignment horizontal="center" vertical="center"/>
    </xf>
    <xf borderId="32" fillId="0" fontId="22" numFmtId="0" xfId="0" applyAlignment="1" applyBorder="1" applyFont="1">
      <alignment horizontal="center" vertical="center"/>
    </xf>
    <xf borderId="35" fillId="0" fontId="22" numFmtId="0" xfId="0" applyAlignment="1" applyBorder="1" applyFont="1">
      <alignment horizontal="center" vertical="center"/>
    </xf>
    <xf borderId="68" fillId="0" fontId="22" numFmtId="0" xfId="0" applyAlignment="1" applyBorder="1" applyFont="1">
      <alignment horizontal="center" vertical="center"/>
    </xf>
    <xf borderId="71" fillId="0" fontId="21" numFmtId="0" xfId="0" applyAlignment="1" applyBorder="1" applyFont="1">
      <alignment horizontal="center" vertical="center"/>
    </xf>
    <xf borderId="72" fillId="0" fontId="22" numFmtId="0" xfId="0" applyAlignment="1" applyBorder="1" applyFont="1">
      <alignment horizontal="center" vertical="center"/>
    </xf>
    <xf borderId="73" fillId="0" fontId="22" numFmtId="0" xfId="0" applyAlignment="1" applyBorder="1" applyFont="1">
      <alignment horizontal="center" vertical="center"/>
    </xf>
    <xf borderId="74" fillId="0" fontId="22" numFmtId="0" xfId="0" applyAlignment="1" applyBorder="1" applyFont="1">
      <alignment horizontal="center" vertical="center"/>
    </xf>
    <xf borderId="75" fillId="0" fontId="22" numFmtId="0" xfId="0" applyAlignment="1" applyBorder="1" applyFont="1">
      <alignment shrinkToFit="0" vertical="center" wrapText="1"/>
    </xf>
    <xf borderId="76" fillId="0" fontId="11" numFmtId="0" xfId="0" applyBorder="1" applyFont="1"/>
    <xf borderId="77" fillId="0" fontId="11" numFmtId="0" xfId="0" applyBorder="1" applyFont="1"/>
    <xf borderId="78" fillId="0" fontId="22" numFmtId="0" xfId="0" applyAlignment="1" applyBorder="1" applyFont="1">
      <alignment shrinkToFit="0" vertical="center" wrapText="1"/>
    </xf>
    <xf borderId="79" fillId="0" fontId="11" numFmtId="0" xfId="0" applyBorder="1" applyFont="1"/>
    <xf borderId="80" fillId="0" fontId="11" numFmtId="0" xfId="0" applyBorder="1" applyFont="1"/>
    <xf borderId="44" fillId="0" fontId="20" numFmtId="0" xfId="0" applyAlignment="1" applyBorder="1" applyFont="1">
      <alignment vertical="center"/>
    </xf>
    <xf borderId="47" fillId="0" fontId="21" numFmtId="0" xfId="0" applyAlignment="1" applyBorder="1" applyFont="1">
      <alignment horizontal="center" shrinkToFit="0" vertical="center" wrapText="1"/>
    </xf>
    <xf borderId="47" fillId="0" fontId="20" numFmtId="0" xfId="0" applyAlignment="1" applyBorder="1" applyFont="1">
      <alignment vertical="center"/>
    </xf>
    <xf borderId="55" fillId="0" fontId="21" numFmtId="0" xfId="0" applyAlignment="1" applyBorder="1" applyFont="1">
      <alignment shrinkToFit="0" vertical="center" wrapText="1"/>
    </xf>
    <xf borderId="49" fillId="0" fontId="20" numFmtId="0" xfId="0" applyAlignment="1" applyBorder="1" applyFont="1">
      <alignment vertical="center"/>
    </xf>
    <xf borderId="62" fillId="0" fontId="20" numFmtId="0" xfId="0" applyAlignment="1" applyBorder="1" applyFont="1">
      <alignment vertical="center"/>
    </xf>
    <xf borderId="63" fillId="0" fontId="20" numFmtId="0" xfId="0" applyAlignment="1" applyBorder="1" applyFont="1">
      <alignment vertical="center"/>
    </xf>
    <xf borderId="63" fillId="0" fontId="20" numFmtId="167" xfId="0" applyAlignment="1" applyBorder="1" applyFont="1" applyNumberFormat="1">
      <alignment vertical="center"/>
    </xf>
    <xf borderId="64" fillId="0" fontId="20" numFmtId="0" xfId="0" applyAlignment="1" applyBorder="1" applyFont="1">
      <alignment vertical="center"/>
    </xf>
    <xf borderId="65" fillId="0" fontId="25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15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>
        <color rgb="FF274E13"/>
      </font>
      <fill>
        <patternFill patternType="solid">
          <fgColor rgb="FFB7E1CD"/>
          <bgColor rgb="FFB7E1CD"/>
        </patternFill>
      </fill>
      <border/>
    </dxf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B7B7B7"/>
      </font>
      <fill>
        <patternFill patternType="solid">
          <fgColor rgb="FFEFEFEF"/>
          <bgColor rgb="FFEFEFEF"/>
        </patternFill>
      </fill>
      <border/>
    </dxf>
    <dxf>
      <font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F4CCCC"/>
      </font>
      <fill>
        <patternFill patternType="solid">
          <fgColor rgb="FFCC0000"/>
          <bgColor rgb="FFCC0000"/>
        </patternFill>
      </fill>
      <border/>
    </dxf>
    <dxf>
      <font>
        <color rgb="FF0B5394"/>
      </font>
      <fill>
        <patternFill patternType="solid">
          <fgColor rgb="FFCFE2F3"/>
          <bgColor rgb="FFCFE2F3"/>
        </patternFill>
      </fill>
      <border/>
    </dxf>
    <dxf>
      <font>
        <color rgb="FF434343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I3GDdg9oQCWJO-MV3qJ6uHmFyAMfiVC8hHOLMgW4iVk/preview?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2.63" defaultRowHeight="15.75"/>
  <cols>
    <col customWidth="1" min="1" max="1" width="4.0"/>
    <col customWidth="1" min="2" max="2" width="14.63"/>
    <col customWidth="1" hidden="1" min="3" max="3" width="33.25"/>
    <col customWidth="1" min="4" max="5" width="8.88"/>
    <col customWidth="1" min="6" max="6" width="9.75"/>
    <col customWidth="1" min="7" max="22" width="7.63"/>
    <col customWidth="1" min="23" max="30" width="5.13"/>
    <col customWidth="1" min="31" max="34" width="10.13"/>
    <col customWidth="1" min="35" max="38" width="13.13"/>
    <col customWidth="1" min="39" max="39" width="9.38"/>
    <col customWidth="1" min="40" max="40" width="5.88"/>
    <col customWidth="1" hidden="1" min="41" max="41" width="5.88"/>
    <col customWidth="1" hidden="1" min="42" max="42" width="11.38"/>
    <col customWidth="1" hidden="1" min="43" max="44" width="30.5"/>
    <col customWidth="1" hidden="1" min="45" max="45" width="5.88"/>
    <col customWidth="1" hidden="1" min="46" max="46" width="12.38"/>
    <col customWidth="1" hidden="1" min="47" max="47" width="25.25"/>
    <col customWidth="1" hidden="1" min="48" max="48" width="25.75"/>
    <col customWidth="1" hidden="1" min="49" max="49" width="5.88"/>
  </cols>
  <sheetData>
    <row r="1" ht="24.0" hidden="1" customHeight="1">
      <c r="A1" s="1"/>
      <c r="B1" s="1"/>
      <c r="C1" s="2" t="s">
        <v>0</v>
      </c>
      <c r="D1" s="3"/>
      <c r="E1" s="4"/>
      <c r="F1" s="4"/>
      <c r="G1" s="5"/>
      <c r="H1" s="5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J1" s="7"/>
      <c r="AK1" s="7"/>
      <c r="AL1" s="7"/>
      <c r="AM1" s="8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hidden="1">
      <c r="A2" s="1"/>
      <c r="B2" s="1"/>
      <c r="C2" s="9" t="s">
        <v>1</v>
      </c>
      <c r="D2" s="3"/>
      <c r="E2" s="4"/>
      <c r="F2" s="4"/>
      <c r="G2" s="5"/>
      <c r="H2" s="5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7"/>
      <c r="AK2" s="7"/>
      <c r="AL2" s="7"/>
      <c r="AM2" s="8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hidden="1">
      <c r="A3" s="10"/>
      <c r="B3" s="11"/>
      <c r="C3" s="10"/>
      <c r="D3" s="3"/>
      <c r="E3" s="4"/>
      <c r="F3" s="4"/>
      <c r="G3" s="5"/>
      <c r="H3" s="5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7"/>
      <c r="AK3" s="7"/>
      <c r="AL3" s="7"/>
      <c r="AM3" s="8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hidden="1">
      <c r="A4" s="10"/>
      <c r="B4" s="10"/>
      <c r="C4" s="10"/>
      <c r="D4" s="12"/>
      <c r="E4" s="12"/>
      <c r="F4" s="12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/>
      <c r="AJ4" s="7"/>
      <c r="AK4" s="7"/>
      <c r="AL4" s="7"/>
      <c r="AM4" s="8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hidden="1">
      <c r="A5" s="13" t="str">
        <f>IFERROR(__xludf.DUMMYFUNCTION("IMPORTRANGE(C2, C1&amp;""!A5:C48"")"),"")</f>
        <v/>
      </c>
      <c r="B5" s="13" t="str">
        <f>IFERROR(__xludf.DUMMYFUNCTION("""COMPUTED_VALUE"""),"Lab Faculty: AVB,QUZA   Emails: avinandan@bracu.ac.bd,quazi.ashikur@bracu.ac.bd")</f>
        <v>Lab Faculty: AVB,QUZA   Emails: avinandan@bracu.ac.bd,quazi.ashikur@bracu.ac.bd</v>
      </c>
      <c r="C5" s="13"/>
      <c r="D5" s="14" t="str">
        <f>IFERROR(__xludf.DUMMYFUNCTION("IMPORTRANGE(C2, C1&amp;""!E5:AV48"")"),"")</f>
        <v/>
      </c>
      <c r="E5" s="15"/>
      <c r="F5" s="15"/>
      <c r="G5" s="5"/>
      <c r="H5" s="5"/>
      <c r="I5" s="5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7"/>
      <c r="AJ5" s="7"/>
      <c r="AK5" s="7"/>
      <c r="AL5" s="7"/>
      <c r="AM5" s="8"/>
      <c r="AN5" s="6"/>
      <c r="AO5" s="6"/>
      <c r="AP5" s="6"/>
      <c r="AQ5" s="6"/>
      <c r="AR5" s="6"/>
      <c r="AS5" s="6"/>
      <c r="AT5" s="6"/>
      <c r="AU5" s="6"/>
      <c r="AV5" s="6"/>
      <c r="AW5" s="6"/>
    </row>
    <row r="6">
      <c r="A6" s="16"/>
      <c r="B6" s="16"/>
      <c r="C6" s="16"/>
      <c r="D6" s="16"/>
      <c r="E6" s="16"/>
      <c r="F6" s="16"/>
      <c r="G6" s="17" t="str">
        <f>IFERROR(__xludf.DUMMYFUNCTION("""COMPUTED_VALUE"""),"Attendance [ 1 = present, 0 = absent, S = sick/considered ]")</f>
        <v>Attendance [ 1 = present, 0 = absent, S = sick/considered ]</v>
      </c>
      <c r="H6" s="18"/>
      <c r="I6" s="18"/>
      <c r="J6" s="18"/>
      <c r="K6" s="18"/>
      <c r="L6" s="18"/>
      <c r="M6" s="18"/>
      <c r="N6" s="19"/>
      <c r="O6" s="20" t="str">
        <f>IFERROR(__xludf.DUMMYFUNCTION("""COMPUTED_VALUE"""),"Lab Evaluation (5)
[num = Eval Score, A = Absent, - = Present, S = Sick]")</f>
        <v>Lab Evaluation (5)
[num = Eval Score, A = Absent, - = Present, S = Sick]</v>
      </c>
      <c r="P6" s="18"/>
      <c r="Q6" s="18"/>
      <c r="R6" s="18"/>
      <c r="S6" s="18"/>
      <c r="T6" s="18"/>
      <c r="U6" s="18"/>
      <c r="V6" s="19"/>
      <c r="W6" s="21" t="str">
        <f>IFERROR(__xludf.DUMMYFUNCTION("""COMPUTED_VALUE"""),"Lab Assignment (5)")</f>
        <v>Lab Assignment (5)</v>
      </c>
      <c r="X6" s="18"/>
      <c r="Y6" s="18"/>
      <c r="Z6" s="18"/>
      <c r="AA6" s="18"/>
      <c r="AB6" s="18"/>
      <c r="AC6" s="18"/>
      <c r="AD6" s="19"/>
      <c r="AE6" s="20"/>
      <c r="AF6" s="18"/>
      <c r="AG6" s="18"/>
      <c r="AH6" s="19"/>
      <c r="AI6" s="22"/>
      <c r="AJ6" s="23"/>
      <c r="AK6" s="18"/>
      <c r="AL6" s="18"/>
      <c r="AM6" s="19"/>
      <c r="AN6" s="24"/>
      <c r="AO6" s="24"/>
      <c r="AP6" s="24"/>
      <c r="AQ6" s="24"/>
      <c r="AR6" s="24"/>
      <c r="AS6" s="24"/>
      <c r="AT6" s="24"/>
      <c r="AU6" s="24"/>
      <c r="AV6" s="24"/>
      <c r="AW6" s="24"/>
    </row>
    <row r="7" ht="46.5" customHeight="1">
      <c r="A7" s="25" t="str">
        <f>IFERROR(__xludf.DUMMYFUNCTION("""COMPUTED_VALUE"""),"SL")</f>
        <v>SL</v>
      </c>
      <c r="B7" s="25" t="str">
        <f>IFERROR(__xludf.DUMMYFUNCTION("""COMPUTED_VALUE"""),"ID")</f>
        <v>ID</v>
      </c>
      <c r="C7" s="26" t="str">
        <f>IFERROR(__xludf.DUMMYFUNCTION("""COMPUTED_VALUE"""),"Name")</f>
        <v>Name</v>
      </c>
      <c r="D7" s="27" t="str">
        <f>IFERROR(__xludf.DUMMYFUNCTION("""COMPUTED_VALUE"""),"Lab Policy Signed?")</f>
        <v>Lab Policy Signed?</v>
      </c>
      <c r="E7" s="28" t="str">
        <f>IFERROR(__xludf.DUMMYFUNCTION("""COMPUTED_VALUE"""),"Absent Count")</f>
        <v>Absent Count</v>
      </c>
      <c r="F7" s="29" t="str">
        <f>IFERROR(__xludf.DUMMYFUNCTION("""COMPUTED_VALUE"""),"Final Exam Eligibility")</f>
        <v>Final Exam Eligibility</v>
      </c>
      <c r="G7" s="30" t="str">
        <f>IFERROR(__xludf.DUMMYFUNCTION("""COMPUTED_VALUE"""),"LAB 1")</f>
        <v>LAB 1</v>
      </c>
      <c r="H7" s="31" t="str">
        <f>IFERROR(__xludf.DUMMYFUNCTION("""COMPUTED_VALUE"""),"LAB 2")</f>
        <v>LAB 2</v>
      </c>
      <c r="I7" s="31" t="str">
        <f>IFERROR(__xludf.DUMMYFUNCTION("""COMPUTED_VALUE"""),"LAB 3")</f>
        <v>LAB 3</v>
      </c>
      <c r="J7" s="31" t="str">
        <f>IFERROR(__xludf.DUMMYFUNCTION("""COMPUTED_VALUE"""),"LAB 4")</f>
        <v>LAB 4</v>
      </c>
      <c r="K7" s="32" t="str">
        <f>IFERROR(__xludf.DUMMYFUNCTION("""COMPUTED_VALUE"""),"LAB 5")</f>
        <v>LAB 5</v>
      </c>
      <c r="L7" s="32" t="str">
        <f>IFERROR(__xludf.DUMMYFUNCTION("""COMPUTED_VALUE"""),"LAB 6")</f>
        <v>LAB 6</v>
      </c>
      <c r="M7" s="32" t="str">
        <f>IFERROR(__xludf.DUMMYFUNCTION("""COMPUTED_VALUE"""),"LAB 7")</f>
        <v>LAB 7</v>
      </c>
      <c r="N7" s="32" t="str">
        <f>IFERROR(__xludf.DUMMYFUNCTION("""COMPUTED_VALUE"""),"LAB 8")</f>
        <v>LAB 8</v>
      </c>
      <c r="O7" s="33" t="str">
        <f>IFERROR(__xludf.DUMMYFUNCTION("""COMPUTED_VALUE"""),"LAB 1")</f>
        <v>LAB 1</v>
      </c>
      <c r="P7" s="34" t="str">
        <f>IFERROR(__xludf.DUMMYFUNCTION("""COMPUTED_VALUE"""),"LAB 2")</f>
        <v>LAB 2</v>
      </c>
      <c r="Q7" s="34" t="str">
        <f>IFERROR(__xludf.DUMMYFUNCTION("""COMPUTED_VALUE"""),"LAB 3")</f>
        <v>LAB 3</v>
      </c>
      <c r="R7" s="34" t="str">
        <f>IFERROR(__xludf.DUMMYFUNCTION("""COMPUTED_VALUE"""),"LAB 4")</f>
        <v>LAB 4</v>
      </c>
      <c r="S7" s="35" t="str">
        <f>IFERROR(__xludf.DUMMYFUNCTION("""COMPUTED_VALUE"""),"LAB 5")</f>
        <v>LAB 5</v>
      </c>
      <c r="T7" s="35" t="str">
        <f>IFERROR(__xludf.DUMMYFUNCTION("""COMPUTED_VALUE"""),"LAB 6")</f>
        <v>LAB 6</v>
      </c>
      <c r="U7" s="35" t="str">
        <f>IFERROR(__xludf.DUMMYFUNCTION("""COMPUTED_VALUE"""),"LAB 7")</f>
        <v>LAB 7</v>
      </c>
      <c r="V7" s="36" t="str">
        <f>IFERROR(__xludf.DUMMYFUNCTION("""COMPUTED_VALUE"""),"LAB 8")</f>
        <v>LAB 8</v>
      </c>
      <c r="W7" s="37" t="str">
        <f>IFERROR(__xludf.DUMMYFUNCTION("""COMPUTED_VALUE"""),"A1")</f>
        <v>A1</v>
      </c>
      <c r="X7" s="38" t="str">
        <f>IFERROR(__xludf.DUMMYFUNCTION("""COMPUTED_VALUE"""),"A2")</f>
        <v>A2</v>
      </c>
      <c r="Y7" s="38" t="str">
        <f>IFERROR(__xludf.DUMMYFUNCTION("""COMPUTED_VALUE"""),"A3")</f>
        <v>A3</v>
      </c>
      <c r="Z7" s="38" t="str">
        <f>IFERROR(__xludf.DUMMYFUNCTION("""COMPUTED_VALUE"""),"A4")</f>
        <v>A4</v>
      </c>
      <c r="AA7" s="39" t="str">
        <f>IFERROR(__xludf.DUMMYFUNCTION("""COMPUTED_VALUE"""),"A5")</f>
        <v>A5</v>
      </c>
      <c r="AB7" s="39" t="str">
        <f>IFERROR(__xludf.DUMMYFUNCTION("""COMPUTED_VALUE"""),"A6")</f>
        <v>A6</v>
      </c>
      <c r="AC7" s="39" t="str">
        <f>IFERROR(__xludf.DUMMYFUNCTION("""COMPUTED_VALUE"""),"A7")</f>
        <v>A7</v>
      </c>
      <c r="AD7" s="40" t="str">
        <f>IFERROR(__xludf.DUMMYFUNCTION("""COMPUTED_VALUE"""),"A8")</f>
        <v>A8</v>
      </c>
      <c r="AE7" s="41" t="str">
        <f>IFERROR(__xludf.DUMMYFUNCTION("""COMPUTED_VALUE"""),"Exam#1")</f>
        <v>Exam#1</v>
      </c>
      <c r="AF7" s="42" t="str">
        <f>IFERROR(__xludf.DUMMYFUNCTION("""COMPUTED_VALUE"""),"Exam#2")</f>
        <v>Exam#2</v>
      </c>
      <c r="AG7" s="43" t="str">
        <f>IFERROR(__xludf.DUMMYFUNCTION("""COMPUTED_VALUE"""),"Exam#3")</f>
        <v>Exam#3</v>
      </c>
      <c r="AH7" s="44" t="str">
        <f>IFERROR(__xludf.DUMMYFUNCTION("""COMPUTED_VALUE"""),"Exam#4")</f>
        <v>Exam#4</v>
      </c>
      <c r="AI7" s="45" t="str">
        <f>IFERROR(__xludf.DUMMYFUNCTION("""COMPUTED_VALUE"""),"Plagiarism ")</f>
        <v>Plagiarism </v>
      </c>
      <c r="AJ7" s="46" t="str">
        <f>IFERROR(__xludf.DUMMYFUNCTION("""COMPUTED_VALUE"""),"Lab Exam (N-1)")</f>
        <v>Lab Exam (N-1)</v>
      </c>
      <c r="AK7" s="46" t="str">
        <f>IFERROR(__xludf.DUMMYFUNCTION("""COMPUTED_VALUE"""),"Lab Performance (Avg)")</f>
        <v>Lab Performance (Avg)</v>
      </c>
      <c r="AL7" s="47" t="str">
        <f>IFERROR(__xludf.DUMMYFUNCTION("""COMPUTED_VALUE"""),"Assignment
(Avg)")</f>
        <v>Assignment
(Avg)</v>
      </c>
      <c r="AM7" s="48" t="str">
        <f>IFERROR(__xludf.DUMMYFUNCTION("""COMPUTED_VALUE"""),"Lab Marks")</f>
        <v>Lab Marks</v>
      </c>
      <c r="AN7" s="24"/>
      <c r="AO7" s="24"/>
      <c r="AP7" s="24"/>
      <c r="AQ7" s="24"/>
      <c r="AR7" s="24"/>
      <c r="AS7" s="24"/>
      <c r="AT7" s="24"/>
      <c r="AU7" s="24"/>
      <c r="AV7" s="24"/>
      <c r="AW7" s="24"/>
    </row>
    <row r="8" ht="21.75" customHeight="1">
      <c r="A8" s="49"/>
      <c r="B8" s="50"/>
      <c r="C8" s="51"/>
      <c r="D8" s="52"/>
      <c r="E8" s="53"/>
      <c r="F8" s="51"/>
      <c r="G8" s="54">
        <f>IFERROR(__xludf.DUMMYFUNCTION("""COMPUTED_VALUE"""),46071.0)</f>
        <v>46071</v>
      </c>
      <c r="H8" s="55">
        <f>IFERROR(__xludf.DUMMYFUNCTION("""COMPUTED_VALUE"""),46078.0)</f>
        <v>46078</v>
      </c>
      <c r="I8" s="55">
        <f>IFERROR(__xludf.DUMMYFUNCTION("""COMPUTED_VALUE"""),46085.0)</f>
        <v>46085</v>
      </c>
      <c r="J8" s="54">
        <f>IFERROR(__xludf.DUMMYFUNCTION("""COMPUTED_VALUE"""),46092.0)</f>
        <v>46092</v>
      </c>
      <c r="K8" s="56">
        <f>IFERROR(__xludf.DUMMYFUNCTION("""COMPUTED_VALUE"""),46127.0)</f>
        <v>46127</v>
      </c>
      <c r="L8" s="57">
        <f>IFERROR(__xludf.DUMMYFUNCTION("""COMPUTED_VALUE"""),46134.0)</f>
        <v>46134</v>
      </c>
      <c r="M8" s="56">
        <f>IFERROR(__xludf.DUMMYFUNCTION("""COMPUTED_VALUE"""),46141.0)</f>
        <v>46141</v>
      </c>
      <c r="N8" s="58">
        <f>IFERROR(__xludf.DUMMYFUNCTION("""COMPUTED_VALUE"""),46148.0)</f>
        <v>46148</v>
      </c>
      <c r="O8" s="59">
        <f>IFERROR(__xludf.DUMMYFUNCTION("""COMPUTED_VALUE"""),46071.0)</f>
        <v>46071</v>
      </c>
      <c r="P8" s="60">
        <f>IFERROR(__xludf.DUMMYFUNCTION("""COMPUTED_VALUE"""),46078.0)</f>
        <v>46078</v>
      </c>
      <c r="Q8" s="60">
        <f>IFERROR(__xludf.DUMMYFUNCTION("""COMPUTED_VALUE"""),46085.0)</f>
        <v>46085</v>
      </c>
      <c r="R8" s="59">
        <f>IFERROR(__xludf.DUMMYFUNCTION("""COMPUTED_VALUE"""),46092.0)</f>
        <v>46092</v>
      </c>
      <c r="S8" s="61">
        <f>IFERROR(__xludf.DUMMYFUNCTION("""COMPUTED_VALUE"""),46127.0)</f>
        <v>46127</v>
      </c>
      <c r="T8" s="61">
        <f>IFERROR(__xludf.DUMMYFUNCTION("""COMPUTED_VALUE"""),46134.0)</f>
        <v>46134</v>
      </c>
      <c r="U8" s="61">
        <f>IFERROR(__xludf.DUMMYFUNCTION("""COMPUTED_VALUE"""),46141.0)</f>
        <v>46141</v>
      </c>
      <c r="V8" s="62">
        <f>IFERROR(__xludf.DUMMYFUNCTION("""COMPUTED_VALUE"""),46148.0)</f>
        <v>46148</v>
      </c>
      <c r="W8" s="63"/>
      <c r="X8" s="63"/>
      <c r="Y8" s="63"/>
      <c r="Z8" s="63"/>
      <c r="AA8" s="64"/>
      <c r="AB8" s="64"/>
      <c r="AC8" s="64"/>
      <c r="AD8" s="64"/>
      <c r="AE8" s="65">
        <f>IFERROR(__xludf.DUMMYFUNCTION("""COMPUTED_VALUE"""),46085.0)</f>
        <v>46085</v>
      </c>
      <c r="AF8" s="65">
        <f>IFERROR(__xludf.DUMMYFUNCTION("""COMPUTED_VALUE"""),46134.0)</f>
        <v>46134</v>
      </c>
      <c r="AG8" s="66">
        <f>IFERROR(__xludf.DUMMYFUNCTION("""COMPUTED_VALUE"""),46141.0)</f>
        <v>46141</v>
      </c>
      <c r="AH8" s="67">
        <f>IFERROR(__xludf.DUMMYFUNCTION("""COMPUTED_VALUE"""),46148.0)</f>
        <v>46148</v>
      </c>
      <c r="AI8" s="68"/>
      <c r="AJ8" s="69">
        <f>IFERROR(__xludf.DUMMYFUNCTION("""COMPUTED_VALUE"""),20.0)</f>
        <v>20</v>
      </c>
      <c r="AK8" s="69">
        <f>IFERROR(__xludf.DUMMYFUNCTION("""COMPUTED_VALUE"""),3.0)</f>
        <v>3</v>
      </c>
      <c r="AL8" s="69">
        <f>IFERROR(__xludf.DUMMYFUNCTION("""COMPUTED_VALUE"""),2.0)</f>
        <v>2</v>
      </c>
      <c r="AM8" s="70">
        <f>IFERROR(__xludf.DUMMYFUNCTION("""COMPUTED_VALUE"""),25.0)</f>
        <v>25</v>
      </c>
      <c r="AN8" s="24"/>
      <c r="AO8" s="24"/>
      <c r="AP8" s="71"/>
      <c r="AQ8" s="18"/>
      <c r="AR8" s="19"/>
      <c r="AS8" s="24"/>
      <c r="AT8" s="72"/>
      <c r="AU8" s="18"/>
      <c r="AV8" s="19"/>
      <c r="AW8" s="73"/>
    </row>
    <row r="9" ht="18.0" customHeight="1">
      <c r="A9" s="74">
        <f>IFERROR(__xludf.DUMMYFUNCTION("""COMPUTED_VALUE"""),1.0)</f>
        <v>1</v>
      </c>
      <c r="B9" s="75" t="str">
        <f>IFERROR(__xludf.DUMMYFUNCTION("""COMPUTED_VALUE"""),"1000055298")</f>
        <v>1000055298</v>
      </c>
      <c r="C9" s="76" t="str">
        <f>IFERROR(__xludf.DUMMYFUNCTION("""COMPUTED_VALUE"""),"Mahima Hasan")</f>
        <v>Mahima Hasan</v>
      </c>
      <c r="D9" s="77" t="b">
        <f>IFERROR(__xludf.DUMMYFUNCTION("""COMPUTED_VALUE"""),TRUE)</f>
        <v>1</v>
      </c>
      <c r="E9" s="78">
        <f>IFERROR(__xludf.DUMMYFUNCTION("""COMPUTED_VALUE"""),0.0)</f>
        <v>0</v>
      </c>
      <c r="F9" s="79" t="str">
        <f>IFERROR(__xludf.DUMMYFUNCTION("""COMPUTED_VALUE"""),"OKAY")</f>
        <v>OKAY</v>
      </c>
      <c r="G9" s="80">
        <f>IFERROR(__xludf.DUMMYFUNCTION("""COMPUTED_VALUE"""),1.0)</f>
        <v>1</v>
      </c>
      <c r="H9" s="74">
        <f>IFERROR(__xludf.DUMMYFUNCTION("""COMPUTED_VALUE"""),1.0)</f>
        <v>1</v>
      </c>
      <c r="I9" s="74">
        <f>IFERROR(__xludf.DUMMYFUNCTION("""COMPUTED_VALUE"""),1.0)</f>
        <v>1</v>
      </c>
      <c r="J9" s="81">
        <f>IFERROR(__xludf.DUMMYFUNCTION("""COMPUTED_VALUE"""),1.0)</f>
        <v>1</v>
      </c>
      <c r="K9" s="75">
        <f>IFERROR(__xludf.DUMMYFUNCTION("""COMPUTED_VALUE"""),1.0)</f>
        <v>1</v>
      </c>
      <c r="L9" s="74">
        <f>IFERROR(__xludf.DUMMYFUNCTION("""COMPUTED_VALUE"""),1.0)</f>
        <v>1</v>
      </c>
      <c r="M9" s="81">
        <f>IFERROR(__xludf.DUMMYFUNCTION("""COMPUTED_VALUE"""),1.0)</f>
        <v>1</v>
      </c>
      <c r="N9" s="82">
        <f>IFERROR(__xludf.DUMMYFUNCTION("""COMPUTED_VALUE"""),1.0)</f>
        <v>1</v>
      </c>
      <c r="O9" s="83" t="str">
        <f>IFERROR(__xludf.DUMMYFUNCTION("""COMPUTED_VALUE"""),"-")</f>
        <v>-</v>
      </c>
      <c r="P9" s="84">
        <f>IFERROR(__xludf.DUMMYFUNCTION("""COMPUTED_VALUE"""),5.0)</f>
        <v>5</v>
      </c>
      <c r="Q9" s="84" t="str">
        <f>IFERROR(__xludf.DUMMYFUNCTION("""COMPUTED_VALUE"""),"-")</f>
        <v>-</v>
      </c>
      <c r="R9" s="84" t="str">
        <f>IFERROR(__xludf.DUMMYFUNCTION("""COMPUTED_VALUE"""),"-")</f>
        <v>-</v>
      </c>
      <c r="S9" s="84" t="str">
        <f>IFERROR(__xludf.DUMMYFUNCTION("""COMPUTED_VALUE"""),"-")</f>
        <v>-</v>
      </c>
      <c r="T9" s="84">
        <f>IFERROR(__xludf.DUMMYFUNCTION("""COMPUTED_VALUE"""),5.0)</f>
        <v>5</v>
      </c>
      <c r="U9" s="84" t="str">
        <f>IFERROR(__xludf.DUMMYFUNCTION("""COMPUTED_VALUE"""),"-")</f>
        <v>-</v>
      </c>
      <c r="V9" s="85" t="str">
        <f>IFERROR(__xludf.DUMMYFUNCTION("""COMPUTED_VALUE"""),"-")</f>
        <v>-</v>
      </c>
      <c r="W9" s="86">
        <f>IFERROR(__xludf.DUMMYFUNCTION("""COMPUTED_VALUE"""),5.0)</f>
        <v>5</v>
      </c>
      <c r="X9" s="87">
        <f>IFERROR(__xludf.DUMMYFUNCTION("""COMPUTED_VALUE"""),4.583333333333333)</f>
        <v>4.583333333</v>
      </c>
      <c r="Y9" s="87">
        <f>IFERROR(__xludf.DUMMYFUNCTION("""COMPUTED_VALUE"""),5.0)</f>
        <v>5</v>
      </c>
      <c r="Z9" s="87">
        <f>IFERROR(__xludf.DUMMYFUNCTION("""COMPUTED_VALUE"""),3.3333333333333335)</f>
        <v>3.333333333</v>
      </c>
      <c r="AA9" s="87">
        <f>IFERROR(__xludf.DUMMYFUNCTION("""COMPUTED_VALUE"""),4.642857142857143)</f>
        <v>4.642857143</v>
      </c>
      <c r="AB9" s="87">
        <f>IFERROR(__xludf.DUMMYFUNCTION("""COMPUTED_VALUE"""),0.8333333333333334)</f>
        <v>0.8333333333</v>
      </c>
      <c r="AC9" s="88">
        <f>IFERROR(__xludf.DUMMYFUNCTION("""COMPUTED_VALUE"""),5.0)</f>
        <v>5</v>
      </c>
      <c r="AD9" s="89">
        <f>IFERROR(__xludf.DUMMYFUNCTION("""COMPUTED_VALUE"""),5.0)</f>
        <v>5</v>
      </c>
      <c r="AE9" s="90">
        <f>IFERROR(__xludf.DUMMYFUNCTION("""COMPUTED_VALUE"""),6.75)</f>
        <v>6.75</v>
      </c>
      <c r="AF9" s="74">
        <f>IFERROR(__xludf.DUMMYFUNCTION("""COMPUTED_VALUE"""),6.0)</f>
        <v>6</v>
      </c>
      <c r="AG9" s="74">
        <f>IFERROR(__xludf.DUMMYFUNCTION("""COMPUTED_VALUE"""),9.75)</f>
        <v>9.75</v>
      </c>
      <c r="AH9" s="91">
        <f>IFERROR(__xludf.DUMMYFUNCTION("""COMPUTED_VALUE"""),1.0)</f>
        <v>1</v>
      </c>
      <c r="AI9" s="92">
        <f>IFERROR(__xludf.DUMMYFUNCTION("""COMPUTED_VALUE"""),0.0)</f>
        <v>0</v>
      </c>
      <c r="AJ9" s="93">
        <f>IFERROR(__xludf.DUMMYFUNCTION("""COMPUTED_VALUE"""),15.0)</f>
        <v>15</v>
      </c>
      <c r="AK9" s="94">
        <f>IFERROR(__xludf.DUMMYFUNCTION("""COMPUTED_VALUE"""),3.0)</f>
        <v>3</v>
      </c>
      <c r="AL9" s="95">
        <f>IFERROR(__xludf.DUMMYFUNCTION("""COMPUTED_VALUE"""),1.67)</f>
        <v>1.67</v>
      </c>
      <c r="AM9" s="96">
        <f>IFERROR(__xludf.DUMMYFUNCTION("""COMPUTED_VALUE"""),19.75)</f>
        <v>19.75</v>
      </c>
      <c r="AN9" s="97"/>
      <c r="AO9" s="97"/>
      <c r="AP9" s="98" t="str">
        <f>IFERROR(__xludf.DUMMYFUNCTION("""COMPUTED_VALUE"""),"1000055737")</f>
        <v>1000055737</v>
      </c>
      <c r="AQ9" s="98" t="str">
        <f>IFERROR(__xludf.DUMMYFUNCTION("""COMPUTED_VALUE"""),"Tarifur Rahman Chahat")</f>
        <v>Tarifur Rahman Chahat</v>
      </c>
      <c r="AR9" s="97" t="str">
        <f>IFERROR(__xludf.DUMMYFUNCTION("""COMPUTED_VALUE"""),"tarifur.rahman.chahat@g.bracu.ac.bd")</f>
        <v>tarifur.rahman.chahat@g.bracu.ac.bd</v>
      </c>
      <c r="AS9" s="97"/>
      <c r="AT9" s="99" t="str">
        <f>IFERROR(__xludf.DUMMYFUNCTION("""COMPUTED_VALUE"""),"No one failed due to Plagiarism")</f>
        <v>No one failed due to Plagiarism</v>
      </c>
      <c r="AU9" s="100"/>
      <c r="AV9" s="97"/>
      <c r="AW9" s="97"/>
    </row>
    <row r="10" ht="18.0" customHeight="1">
      <c r="A10" s="74">
        <f>IFERROR(__xludf.DUMMYFUNCTION("""COMPUTED_VALUE"""),2.0)</f>
        <v>2</v>
      </c>
      <c r="B10" s="75" t="str">
        <f>IFERROR(__xludf.DUMMYFUNCTION("""COMPUTED_VALUE"""),"1000055737")</f>
        <v>1000055737</v>
      </c>
      <c r="C10" s="76" t="str">
        <f>IFERROR(__xludf.DUMMYFUNCTION("""COMPUTED_VALUE"""),"Tarifur Rahman Chahat")</f>
        <v>Tarifur Rahman Chahat</v>
      </c>
      <c r="D10" s="77" t="b">
        <f>IFERROR(__xludf.DUMMYFUNCTION("""COMPUTED_VALUE"""),TRUE)</f>
        <v>1</v>
      </c>
      <c r="E10" s="78">
        <f>IFERROR(__xludf.DUMMYFUNCTION("""COMPUTED_VALUE"""),4.0)</f>
        <v>4</v>
      </c>
      <c r="F10" s="79" t="str">
        <f>IFERROR(__xludf.DUMMYFUNCTION("""COMPUTED_VALUE"""),"BARRED")</f>
        <v>BARRED</v>
      </c>
      <c r="G10" s="80">
        <f>IFERROR(__xludf.DUMMYFUNCTION("""COMPUTED_VALUE"""),1.0)</f>
        <v>1</v>
      </c>
      <c r="H10" s="74">
        <f>IFERROR(__xludf.DUMMYFUNCTION("""COMPUTED_VALUE"""),0.0)</f>
        <v>0</v>
      </c>
      <c r="I10" s="74">
        <f>IFERROR(__xludf.DUMMYFUNCTION("""COMPUTED_VALUE"""),1.0)</f>
        <v>1</v>
      </c>
      <c r="J10" s="81">
        <f>IFERROR(__xludf.DUMMYFUNCTION("""COMPUTED_VALUE"""),1.0)</f>
        <v>1</v>
      </c>
      <c r="K10" s="84">
        <f>IFERROR(__xludf.DUMMYFUNCTION("""COMPUTED_VALUE"""),1.0)</f>
        <v>1</v>
      </c>
      <c r="L10" s="81">
        <f>IFERROR(__xludf.DUMMYFUNCTION("""COMPUTED_VALUE"""),0.0)</f>
        <v>0</v>
      </c>
      <c r="M10" s="81">
        <f>IFERROR(__xludf.DUMMYFUNCTION("""COMPUTED_VALUE"""),0.0)</f>
        <v>0</v>
      </c>
      <c r="N10" s="82">
        <f>IFERROR(__xludf.DUMMYFUNCTION("""COMPUTED_VALUE"""),0.0)</f>
        <v>0</v>
      </c>
      <c r="O10" s="83" t="str">
        <f>IFERROR(__xludf.DUMMYFUNCTION("""COMPUTED_VALUE"""),"-")</f>
        <v>-</v>
      </c>
      <c r="P10" s="84" t="str">
        <f>IFERROR(__xludf.DUMMYFUNCTION("""COMPUTED_VALUE"""),"a")</f>
        <v>a</v>
      </c>
      <c r="Q10" s="74" t="str">
        <f>IFERROR(__xludf.DUMMYFUNCTION("""COMPUTED_VALUE"""),"-")</f>
        <v>-</v>
      </c>
      <c r="R10" s="74" t="str">
        <f>IFERROR(__xludf.DUMMYFUNCTION("""COMPUTED_VALUE"""),"-")</f>
        <v>-</v>
      </c>
      <c r="S10" s="74" t="str">
        <f>IFERROR(__xludf.DUMMYFUNCTION("""COMPUTED_VALUE"""),"-")</f>
        <v>-</v>
      </c>
      <c r="T10" s="74" t="str">
        <f>IFERROR(__xludf.DUMMYFUNCTION("""COMPUTED_VALUE"""),"a")</f>
        <v>a</v>
      </c>
      <c r="U10" s="74" t="str">
        <f>IFERROR(__xludf.DUMMYFUNCTION("""COMPUTED_VALUE"""),"a")</f>
        <v>a</v>
      </c>
      <c r="V10" s="85" t="str">
        <f>IFERROR(__xludf.DUMMYFUNCTION("""COMPUTED_VALUE"""),"a")</f>
        <v>a</v>
      </c>
      <c r="W10" s="101" t="str">
        <f>IFERROR(__xludf.DUMMYFUNCTION("""COMPUTED_VALUE"""),"N")</f>
        <v>N</v>
      </c>
      <c r="X10" s="102">
        <f>IFERROR(__xludf.DUMMYFUNCTION("""COMPUTED_VALUE"""),0.0)</f>
        <v>0</v>
      </c>
      <c r="Y10" s="102">
        <f>IFERROR(__xludf.DUMMYFUNCTION("""COMPUTED_VALUE"""),3.3333333333333335)</f>
        <v>3.333333333</v>
      </c>
      <c r="Z10" s="102" t="str">
        <f>IFERROR(__xludf.DUMMYFUNCTION("""COMPUTED_VALUE"""),"N")</f>
        <v>N</v>
      </c>
      <c r="AA10" s="102" t="str">
        <f>IFERROR(__xludf.DUMMYFUNCTION("""COMPUTED_VALUE"""),"N")</f>
        <v>N</v>
      </c>
      <c r="AB10" s="102" t="str">
        <f>IFERROR(__xludf.DUMMYFUNCTION("""COMPUTED_VALUE"""),"N")</f>
        <v>N</v>
      </c>
      <c r="AC10" s="103" t="str">
        <f>IFERROR(__xludf.DUMMYFUNCTION("""COMPUTED_VALUE"""),"N")</f>
        <v>N</v>
      </c>
      <c r="AD10" s="89" t="str">
        <f>IFERROR(__xludf.DUMMYFUNCTION("""COMPUTED_VALUE"""),"N")</f>
        <v>N</v>
      </c>
      <c r="AE10" s="83" t="str">
        <f>IFERROR(__xludf.DUMMYFUNCTION("""COMPUTED_VALUE"""),"-")</f>
        <v>-</v>
      </c>
      <c r="AF10" s="74"/>
      <c r="AG10" s="74"/>
      <c r="AH10" s="85"/>
      <c r="AI10" s="92">
        <f>IFERROR(__xludf.DUMMYFUNCTION("""COMPUTED_VALUE"""),0.0)</f>
        <v>0</v>
      </c>
      <c r="AJ10" s="93">
        <f>IFERROR(__xludf.DUMMYFUNCTION("""COMPUTED_VALUE"""),0.0)</f>
        <v>0</v>
      </c>
      <c r="AK10" s="94">
        <f>IFERROR(__xludf.DUMMYFUNCTION("""COMPUTED_VALUE"""),0.0)</f>
        <v>0</v>
      </c>
      <c r="AL10" s="95">
        <f>IFERROR(__xludf.DUMMYFUNCTION("""COMPUTED_VALUE"""),0.167)</f>
        <v>0.167</v>
      </c>
      <c r="AM10" s="96">
        <f>IFERROR(__xludf.DUMMYFUNCTION("""COMPUTED_VALUE"""),0.0)</f>
        <v>0</v>
      </c>
      <c r="AN10" s="97"/>
      <c r="AO10" s="97"/>
      <c r="AP10" s="100" t="str">
        <f>IFERROR(__xludf.DUMMYFUNCTION("""COMPUTED_VALUE"""),"1000058162")</f>
        <v>1000058162</v>
      </c>
      <c r="AQ10" s="100" t="str">
        <f>IFERROR(__xludf.DUMMYFUNCTION("""COMPUTED_VALUE"""),"Nawshin Mahjabin Namira")</f>
        <v>Nawshin Mahjabin Namira</v>
      </c>
      <c r="AR10" s="97" t="str">
        <f>IFERROR(__xludf.DUMMYFUNCTION("""COMPUTED_VALUE"""),"nawshin.mahjabin.namira@g.bracu.ac.bd")</f>
        <v>nawshin.mahjabin.namira@g.bracu.ac.bd</v>
      </c>
      <c r="AS10" s="97"/>
      <c r="AT10" s="100"/>
      <c r="AU10" s="100"/>
      <c r="AV10" s="97"/>
      <c r="AW10" s="97"/>
    </row>
    <row r="11" ht="18.0" customHeight="1">
      <c r="A11" s="74">
        <f>IFERROR(__xludf.DUMMYFUNCTION("""COMPUTED_VALUE"""),3.0)</f>
        <v>3</v>
      </c>
      <c r="B11" s="75" t="str">
        <f>IFERROR(__xludf.DUMMYFUNCTION("""COMPUTED_VALUE"""),"1000055834")</f>
        <v>1000055834</v>
      </c>
      <c r="C11" s="76" t="str">
        <f>IFERROR(__xludf.DUMMYFUNCTION("""COMPUTED_VALUE"""),"Junayed Irfan")</f>
        <v>Junayed Irfan</v>
      </c>
      <c r="D11" s="77" t="b">
        <f>IFERROR(__xludf.DUMMYFUNCTION("""COMPUTED_VALUE"""),TRUE)</f>
        <v>1</v>
      </c>
      <c r="E11" s="78">
        <f>IFERROR(__xludf.DUMMYFUNCTION("""COMPUTED_VALUE"""),1.0)</f>
        <v>1</v>
      </c>
      <c r="F11" s="79" t="str">
        <f>IFERROR(__xludf.DUMMYFUNCTION("""COMPUTED_VALUE"""),"WARNING")</f>
        <v>WARNING</v>
      </c>
      <c r="G11" s="104">
        <f>IFERROR(__xludf.DUMMYFUNCTION("""COMPUTED_VALUE"""),1.0)</f>
        <v>1</v>
      </c>
      <c r="H11" s="74">
        <f>IFERROR(__xludf.DUMMYFUNCTION("""COMPUTED_VALUE"""),1.0)</f>
        <v>1</v>
      </c>
      <c r="I11" s="74">
        <f>IFERROR(__xludf.DUMMYFUNCTION("""COMPUTED_VALUE"""),1.0)</f>
        <v>1</v>
      </c>
      <c r="J11" s="81">
        <f>IFERROR(__xludf.DUMMYFUNCTION("""COMPUTED_VALUE"""),1.0)</f>
        <v>1</v>
      </c>
      <c r="K11" s="74">
        <f>IFERROR(__xludf.DUMMYFUNCTION("""COMPUTED_VALUE"""),1.0)</f>
        <v>1</v>
      </c>
      <c r="L11" s="81">
        <f>IFERROR(__xludf.DUMMYFUNCTION("""COMPUTED_VALUE"""),0.0)</f>
        <v>0</v>
      </c>
      <c r="M11" s="81">
        <f>IFERROR(__xludf.DUMMYFUNCTION("""COMPUTED_VALUE"""),1.0)</f>
        <v>1</v>
      </c>
      <c r="N11" s="82">
        <f>IFERROR(__xludf.DUMMYFUNCTION("""COMPUTED_VALUE"""),1.0)</f>
        <v>1</v>
      </c>
      <c r="O11" s="83" t="str">
        <f>IFERROR(__xludf.DUMMYFUNCTION("""COMPUTED_VALUE"""),"-")</f>
        <v>-</v>
      </c>
      <c r="P11" s="84">
        <f>IFERROR(__xludf.DUMMYFUNCTION("""COMPUTED_VALUE"""),5.0)</f>
        <v>5</v>
      </c>
      <c r="Q11" s="74" t="str">
        <f>IFERROR(__xludf.DUMMYFUNCTION("""COMPUTED_VALUE"""),"-")</f>
        <v>-</v>
      </c>
      <c r="R11" s="74" t="str">
        <f>IFERROR(__xludf.DUMMYFUNCTION("""COMPUTED_VALUE"""),"-")</f>
        <v>-</v>
      </c>
      <c r="S11" s="84" t="str">
        <f>IFERROR(__xludf.DUMMYFUNCTION("""COMPUTED_VALUE"""),"-")</f>
        <v>-</v>
      </c>
      <c r="T11" s="74" t="str">
        <f>IFERROR(__xludf.DUMMYFUNCTION("""COMPUTED_VALUE"""),"a")</f>
        <v>a</v>
      </c>
      <c r="U11" s="74" t="str">
        <f>IFERROR(__xludf.DUMMYFUNCTION("""COMPUTED_VALUE"""),"-")</f>
        <v>-</v>
      </c>
      <c r="V11" s="85" t="str">
        <f>IFERROR(__xludf.DUMMYFUNCTION("""COMPUTED_VALUE"""),"-")</f>
        <v>-</v>
      </c>
      <c r="W11" s="101" t="str">
        <f>IFERROR(__xludf.DUMMYFUNCTION("""COMPUTED_VALUE"""),"N")</f>
        <v>N</v>
      </c>
      <c r="X11" s="102" t="str">
        <f>IFERROR(__xludf.DUMMYFUNCTION("""COMPUTED_VALUE"""),"N")</f>
        <v>N</v>
      </c>
      <c r="Y11" s="87" t="str">
        <f>IFERROR(__xludf.DUMMYFUNCTION("""COMPUTED_VALUE"""),"N")</f>
        <v>N</v>
      </c>
      <c r="Z11" s="87" t="str">
        <f>IFERROR(__xludf.DUMMYFUNCTION("""COMPUTED_VALUE"""),"N")</f>
        <v>N</v>
      </c>
      <c r="AA11" s="102" t="str">
        <f>IFERROR(__xludf.DUMMYFUNCTION("""COMPUTED_VALUE"""),"N")</f>
        <v>N</v>
      </c>
      <c r="AB11" s="87" t="str">
        <f>IFERROR(__xludf.DUMMYFUNCTION("""COMPUTED_VALUE"""),"N")</f>
        <v>N</v>
      </c>
      <c r="AC11" s="88" t="str">
        <f>IFERROR(__xludf.DUMMYFUNCTION("""COMPUTED_VALUE"""),"N")</f>
        <v>N</v>
      </c>
      <c r="AD11" s="89" t="str">
        <f>IFERROR(__xludf.DUMMYFUNCTION("""COMPUTED_VALUE"""),"N")</f>
        <v>N</v>
      </c>
      <c r="AE11" s="83">
        <f>IFERROR(__xludf.DUMMYFUNCTION("""COMPUTED_VALUE"""),7.25)</f>
        <v>7.25</v>
      </c>
      <c r="AF11" s="74">
        <f>IFERROR(__xludf.DUMMYFUNCTION("""COMPUTED_VALUE"""),7.0)</f>
        <v>7</v>
      </c>
      <c r="AG11" s="74">
        <f>IFERROR(__xludf.DUMMYFUNCTION("""COMPUTED_VALUE"""),9.5)</f>
        <v>9.5</v>
      </c>
      <c r="AH11" s="91">
        <f>IFERROR(__xludf.DUMMYFUNCTION("""COMPUTED_VALUE"""),1.0)</f>
        <v>1</v>
      </c>
      <c r="AI11" s="92">
        <f>IFERROR(__xludf.DUMMYFUNCTION("""COMPUTED_VALUE"""),0.0)</f>
        <v>0</v>
      </c>
      <c r="AJ11" s="93">
        <f>IFERROR(__xludf.DUMMYFUNCTION("""COMPUTED_VALUE"""),15.834)</f>
        <v>15.834</v>
      </c>
      <c r="AK11" s="94">
        <f>IFERROR(__xludf.DUMMYFUNCTION("""COMPUTED_VALUE"""),1.5)</f>
        <v>1.5</v>
      </c>
      <c r="AL11" s="95">
        <f>IFERROR(__xludf.DUMMYFUNCTION("""COMPUTED_VALUE"""),0.0)</f>
        <v>0</v>
      </c>
      <c r="AM11" s="96">
        <f>IFERROR(__xludf.DUMMYFUNCTION("""COMPUTED_VALUE"""),17.5)</f>
        <v>17.5</v>
      </c>
      <c r="AN11" s="97"/>
      <c r="AO11" s="97"/>
      <c r="AP11" s="100" t="str">
        <f>IFERROR(__xludf.DUMMYFUNCTION("""COMPUTED_VALUE"""),"1000058196")</f>
        <v>1000058196</v>
      </c>
      <c r="AQ11" s="100" t="str">
        <f>IFERROR(__xludf.DUMMYFUNCTION("""COMPUTED_VALUE"""),"Hossain Bin Al Nafi")</f>
        <v>Hossain Bin Al Nafi</v>
      </c>
      <c r="AR11" s="97" t="str">
        <f>IFERROR(__xludf.DUMMYFUNCTION("""COMPUTED_VALUE"""),"hossain.bin.alnafi@g.bracu.ac.bd")</f>
        <v>hossain.bin.alnafi@g.bracu.ac.bd</v>
      </c>
      <c r="AS11" s="97"/>
      <c r="AT11" s="100"/>
      <c r="AU11" s="100"/>
      <c r="AV11" s="97"/>
      <c r="AW11" s="97"/>
    </row>
    <row r="12" ht="18.0" customHeight="1">
      <c r="A12" s="74">
        <f>IFERROR(__xludf.DUMMYFUNCTION("""COMPUTED_VALUE"""),4.0)</f>
        <v>4</v>
      </c>
      <c r="B12" s="75" t="str">
        <f>IFERROR(__xludf.DUMMYFUNCTION("""COMPUTED_VALUE"""),"1000056720")</f>
        <v>1000056720</v>
      </c>
      <c r="C12" s="76" t="str">
        <f>IFERROR(__xludf.DUMMYFUNCTION("""COMPUTED_VALUE"""),"Kaniz Nusrath Methila")</f>
        <v>Kaniz Nusrath Methila</v>
      </c>
      <c r="D12" s="77" t="b">
        <f>IFERROR(__xludf.DUMMYFUNCTION("""COMPUTED_VALUE"""),TRUE)</f>
        <v>1</v>
      </c>
      <c r="E12" s="78">
        <f>IFERROR(__xludf.DUMMYFUNCTION("""COMPUTED_VALUE"""),1.0)</f>
        <v>1</v>
      </c>
      <c r="F12" s="79" t="str">
        <f>IFERROR(__xludf.DUMMYFUNCTION("""COMPUTED_VALUE"""),"WARNING")</f>
        <v>WARNING</v>
      </c>
      <c r="G12" s="104">
        <f>IFERROR(__xludf.DUMMYFUNCTION("""COMPUTED_VALUE"""),1.0)</f>
        <v>1</v>
      </c>
      <c r="H12" s="74">
        <f>IFERROR(__xludf.DUMMYFUNCTION("""COMPUTED_VALUE"""),1.0)</f>
        <v>1</v>
      </c>
      <c r="I12" s="74">
        <f>IFERROR(__xludf.DUMMYFUNCTION("""COMPUTED_VALUE"""),0.0)</f>
        <v>0</v>
      </c>
      <c r="J12" s="81" t="str">
        <f>IFERROR(__xludf.DUMMYFUNCTION("""COMPUTED_VALUE"""),"S")</f>
        <v>S</v>
      </c>
      <c r="K12" s="74">
        <f>IFERROR(__xludf.DUMMYFUNCTION("""COMPUTED_VALUE"""),1.0)</f>
        <v>1</v>
      </c>
      <c r="L12" s="81">
        <f>IFERROR(__xludf.DUMMYFUNCTION("""COMPUTED_VALUE"""),1.0)</f>
        <v>1</v>
      </c>
      <c r="M12" s="81">
        <f>IFERROR(__xludf.DUMMYFUNCTION("""COMPUTED_VALUE"""),1.0)</f>
        <v>1</v>
      </c>
      <c r="N12" s="82">
        <f>IFERROR(__xludf.DUMMYFUNCTION("""COMPUTED_VALUE"""),1.0)</f>
        <v>1</v>
      </c>
      <c r="O12" s="83" t="str">
        <f>IFERROR(__xludf.DUMMYFUNCTION("""COMPUTED_VALUE"""),"-")</f>
        <v>-</v>
      </c>
      <c r="P12" s="84">
        <f>IFERROR(__xludf.DUMMYFUNCTION("""COMPUTED_VALUE"""),1.0)</f>
        <v>1</v>
      </c>
      <c r="Q12" s="84" t="str">
        <f>IFERROR(__xludf.DUMMYFUNCTION("""COMPUTED_VALUE"""),"a")</f>
        <v>a</v>
      </c>
      <c r="R12" s="84" t="str">
        <f>IFERROR(__xludf.DUMMYFUNCTION("""COMPUTED_VALUE"""),"s")</f>
        <v>s</v>
      </c>
      <c r="S12" s="84" t="str">
        <f>IFERROR(__xludf.DUMMYFUNCTION("""COMPUTED_VALUE"""),"-")</f>
        <v>-</v>
      </c>
      <c r="T12" s="74">
        <f>IFERROR(__xludf.DUMMYFUNCTION("""COMPUTED_VALUE"""),5.0)</f>
        <v>5</v>
      </c>
      <c r="U12" s="74" t="str">
        <f>IFERROR(__xludf.DUMMYFUNCTION("""COMPUTED_VALUE"""),"-")</f>
        <v>-</v>
      </c>
      <c r="V12" s="85" t="str">
        <f>IFERROR(__xludf.DUMMYFUNCTION("""COMPUTED_VALUE"""),"-")</f>
        <v>-</v>
      </c>
      <c r="W12" s="101" t="str">
        <f>IFERROR(__xludf.DUMMYFUNCTION("""COMPUTED_VALUE"""),"N")</f>
        <v>N</v>
      </c>
      <c r="X12" s="102" t="str">
        <f>IFERROR(__xludf.DUMMYFUNCTION("""COMPUTED_VALUE"""),"N")</f>
        <v>N</v>
      </c>
      <c r="Y12" s="102" t="str">
        <f>IFERROR(__xludf.DUMMYFUNCTION("""COMPUTED_VALUE"""),"N")</f>
        <v>N</v>
      </c>
      <c r="Z12" s="102" t="str">
        <f>IFERROR(__xludf.DUMMYFUNCTION("""COMPUTED_VALUE"""),"N")</f>
        <v>N</v>
      </c>
      <c r="AA12" s="102">
        <f>IFERROR(__xludf.DUMMYFUNCTION("""COMPUTED_VALUE"""),1.0714285714285714)</f>
        <v>1.071428571</v>
      </c>
      <c r="AB12" s="102" t="str">
        <f>IFERROR(__xludf.DUMMYFUNCTION("""COMPUTED_VALUE"""),"N")</f>
        <v>N</v>
      </c>
      <c r="AC12" s="103" t="str">
        <f>IFERROR(__xludf.DUMMYFUNCTION("""COMPUTED_VALUE"""),"N")</f>
        <v>N</v>
      </c>
      <c r="AD12" s="89" t="str">
        <f>IFERROR(__xludf.DUMMYFUNCTION("""COMPUTED_VALUE"""),"N")</f>
        <v>N</v>
      </c>
      <c r="AE12" s="83" t="str">
        <f>IFERROR(__xludf.DUMMYFUNCTION("""COMPUTED_VALUE"""),"-")</f>
        <v>-</v>
      </c>
      <c r="AF12" s="84">
        <f>IFERROR(__xludf.DUMMYFUNCTION("""COMPUTED_VALUE"""),0.5)</f>
        <v>0.5</v>
      </c>
      <c r="AG12" s="74">
        <f>IFERROR(__xludf.DUMMYFUNCTION("""COMPUTED_VALUE"""),0.25)</f>
        <v>0.25</v>
      </c>
      <c r="AH12" s="91">
        <f>IFERROR(__xludf.DUMMYFUNCTION("""COMPUTED_VALUE"""),1.0)</f>
        <v>1</v>
      </c>
      <c r="AI12" s="92">
        <f>IFERROR(__xludf.DUMMYFUNCTION("""COMPUTED_VALUE"""),0.0)</f>
        <v>0</v>
      </c>
      <c r="AJ12" s="93">
        <f>IFERROR(__xludf.DUMMYFUNCTION("""COMPUTED_VALUE"""),1.167)</f>
        <v>1.167</v>
      </c>
      <c r="AK12" s="94">
        <f>IFERROR(__xludf.DUMMYFUNCTION("""COMPUTED_VALUE"""),1.8)</f>
        <v>1.8</v>
      </c>
      <c r="AL12" s="95">
        <f>IFERROR(__xludf.DUMMYFUNCTION("""COMPUTED_VALUE"""),0.054)</f>
        <v>0.054</v>
      </c>
      <c r="AM12" s="96">
        <f>IFERROR(__xludf.DUMMYFUNCTION("""COMPUTED_VALUE"""),3.25)</f>
        <v>3.25</v>
      </c>
      <c r="AN12" s="97"/>
      <c r="AO12" s="97"/>
      <c r="AP12" s="100" t="str">
        <f>IFERROR(__xludf.DUMMYFUNCTION("""COMPUTED_VALUE"""),"1000058469")</f>
        <v>1000058469</v>
      </c>
      <c r="AQ12" s="100" t="str">
        <f>IFERROR(__xludf.DUMMYFUNCTION("""COMPUTED_VALUE"""),"Barira Bushra")</f>
        <v>Barira Bushra</v>
      </c>
      <c r="AR12" s="97" t="str">
        <f>IFERROR(__xludf.DUMMYFUNCTION("""COMPUTED_VALUE"""),"barira.bushra@g.bracu.ac.bd")</f>
        <v>barira.bushra@g.bracu.ac.bd</v>
      </c>
      <c r="AS12" s="97"/>
      <c r="AT12" s="100"/>
      <c r="AU12" s="100"/>
      <c r="AV12" s="97"/>
      <c r="AW12" s="97"/>
    </row>
    <row r="13" ht="18.0" customHeight="1">
      <c r="A13" s="74">
        <f>IFERROR(__xludf.DUMMYFUNCTION("""COMPUTED_VALUE"""),5.0)</f>
        <v>5</v>
      </c>
      <c r="B13" s="75" t="str">
        <f>IFERROR(__xludf.DUMMYFUNCTION("""COMPUTED_VALUE"""),"1000057178")</f>
        <v>1000057178</v>
      </c>
      <c r="C13" s="76" t="str">
        <f>IFERROR(__xludf.DUMMYFUNCTION("""COMPUTED_VALUE"""),"Sudhamoyi Shatabdi Nag")</f>
        <v>Sudhamoyi Shatabdi Nag</v>
      </c>
      <c r="D13" s="77" t="b">
        <f>IFERROR(__xludf.DUMMYFUNCTION("""COMPUTED_VALUE"""),TRUE)</f>
        <v>1</v>
      </c>
      <c r="E13" s="78">
        <f>IFERROR(__xludf.DUMMYFUNCTION("""COMPUTED_VALUE"""),1.0)</f>
        <v>1</v>
      </c>
      <c r="F13" s="79" t="str">
        <f>IFERROR(__xludf.DUMMYFUNCTION("""COMPUTED_VALUE"""),"WARNING")</f>
        <v>WARNING</v>
      </c>
      <c r="G13" s="104">
        <f>IFERROR(__xludf.DUMMYFUNCTION("""COMPUTED_VALUE"""),1.0)</f>
        <v>1</v>
      </c>
      <c r="H13" s="74">
        <f>IFERROR(__xludf.DUMMYFUNCTION("""COMPUTED_VALUE"""),1.0)</f>
        <v>1</v>
      </c>
      <c r="I13" s="74">
        <f>IFERROR(__xludf.DUMMYFUNCTION("""COMPUTED_VALUE"""),1.0)</f>
        <v>1</v>
      </c>
      <c r="J13" s="81">
        <f>IFERROR(__xludf.DUMMYFUNCTION("""COMPUTED_VALUE"""),1.0)</f>
        <v>1</v>
      </c>
      <c r="K13" s="74">
        <f>IFERROR(__xludf.DUMMYFUNCTION("""COMPUTED_VALUE"""),0.0)</f>
        <v>0</v>
      </c>
      <c r="L13" s="81">
        <f>IFERROR(__xludf.DUMMYFUNCTION("""COMPUTED_VALUE"""),1.0)</f>
        <v>1</v>
      </c>
      <c r="M13" s="81">
        <f>IFERROR(__xludf.DUMMYFUNCTION("""COMPUTED_VALUE"""),1.0)</f>
        <v>1</v>
      </c>
      <c r="N13" s="82">
        <f>IFERROR(__xludf.DUMMYFUNCTION("""COMPUTED_VALUE"""),1.0)</f>
        <v>1</v>
      </c>
      <c r="O13" s="83" t="str">
        <f>IFERROR(__xludf.DUMMYFUNCTION("""COMPUTED_VALUE"""),"-")</f>
        <v>-</v>
      </c>
      <c r="P13" s="84">
        <f>IFERROR(__xludf.DUMMYFUNCTION("""COMPUTED_VALUE"""),5.0)</f>
        <v>5</v>
      </c>
      <c r="Q13" s="84" t="str">
        <f>IFERROR(__xludf.DUMMYFUNCTION("""COMPUTED_VALUE"""),"-")</f>
        <v>-</v>
      </c>
      <c r="R13" s="84" t="str">
        <f>IFERROR(__xludf.DUMMYFUNCTION("""COMPUTED_VALUE"""),"-")</f>
        <v>-</v>
      </c>
      <c r="S13" s="84" t="str">
        <f>IFERROR(__xludf.DUMMYFUNCTION("""COMPUTED_VALUE"""),"a")</f>
        <v>a</v>
      </c>
      <c r="T13" s="74">
        <f>IFERROR(__xludf.DUMMYFUNCTION("""COMPUTED_VALUE"""),5.0)</f>
        <v>5</v>
      </c>
      <c r="U13" s="84" t="str">
        <f>IFERROR(__xludf.DUMMYFUNCTION("""COMPUTED_VALUE"""),"-")</f>
        <v>-</v>
      </c>
      <c r="V13" s="85" t="str">
        <f>IFERROR(__xludf.DUMMYFUNCTION("""COMPUTED_VALUE"""),"-")</f>
        <v>-</v>
      </c>
      <c r="W13" s="101" t="str">
        <f>IFERROR(__xludf.DUMMYFUNCTION("""COMPUTED_VALUE"""),"N")</f>
        <v>N</v>
      </c>
      <c r="X13" s="102" t="str">
        <f>IFERROR(__xludf.DUMMYFUNCTION("""COMPUTED_VALUE"""),"N")</f>
        <v>N</v>
      </c>
      <c r="Y13" s="102" t="str">
        <f>IFERROR(__xludf.DUMMYFUNCTION("""COMPUTED_VALUE"""),"N")</f>
        <v>N</v>
      </c>
      <c r="Z13" s="102" t="str">
        <f>IFERROR(__xludf.DUMMYFUNCTION("""COMPUTED_VALUE"""),"N")</f>
        <v>N</v>
      </c>
      <c r="AA13" s="102" t="str">
        <f>IFERROR(__xludf.DUMMYFUNCTION("""COMPUTED_VALUE"""),"N")</f>
        <v>N</v>
      </c>
      <c r="AB13" s="102" t="str">
        <f>IFERROR(__xludf.DUMMYFUNCTION("""COMPUTED_VALUE"""),"N")</f>
        <v>N</v>
      </c>
      <c r="AC13" s="103" t="str">
        <f>IFERROR(__xludf.DUMMYFUNCTION("""COMPUTED_VALUE"""),"N")</f>
        <v>N</v>
      </c>
      <c r="AD13" s="89" t="str">
        <f>IFERROR(__xludf.DUMMYFUNCTION("""COMPUTED_VALUE"""),"N")</f>
        <v>N</v>
      </c>
      <c r="AE13" s="83">
        <f>IFERROR(__xludf.DUMMYFUNCTION("""COMPUTED_VALUE"""),4.0)</f>
        <v>4</v>
      </c>
      <c r="AF13" s="74">
        <f>IFERROR(__xludf.DUMMYFUNCTION("""COMPUTED_VALUE"""),5.0)</f>
        <v>5</v>
      </c>
      <c r="AG13" s="74">
        <f>IFERROR(__xludf.DUMMYFUNCTION("""COMPUTED_VALUE"""),9.5)</f>
        <v>9.5</v>
      </c>
      <c r="AH13" s="91">
        <f>IFERROR(__xludf.DUMMYFUNCTION("""COMPUTED_VALUE"""),1.0)</f>
        <v>1</v>
      </c>
      <c r="AI13" s="92">
        <f>IFERROR(__xludf.DUMMYFUNCTION("""COMPUTED_VALUE"""),0.0)</f>
        <v>0</v>
      </c>
      <c r="AJ13" s="93">
        <f>IFERROR(__xludf.DUMMYFUNCTION("""COMPUTED_VALUE"""),12.334)</f>
        <v>12.334</v>
      </c>
      <c r="AK13" s="94">
        <f>IFERROR(__xludf.DUMMYFUNCTION("""COMPUTED_VALUE"""),3.0)</f>
        <v>3</v>
      </c>
      <c r="AL13" s="95">
        <f>IFERROR(__xludf.DUMMYFUNCTION("""COMPUTED_VALUE"""),0.0)</f>
        <v>0</v>
      </c>
      <c r="AM13" s="96">
        <f>IFERROR(__xludf.DUMMYFUNCTION("""COMPUTED_VALUE"""),15.5)</f>
        <v>15.5</v>
      </c>
      <c r="AN13" s="97"/>
      <c r="AO13" s="97"/>
      <c r="AP13" s="100" t="str">
        <f>IFERROR(__xludf.DUMMYFUNCTION("""COMPUTED_VALUE"""),"24201465")</f>
        <v>24201465</v>
      </c>
      <c r="AQ13" s="100" t="str">
        <f>IFERROR(__xludf.DUMMYFUNCTION("""COMPUTED_VALUE"""),"Kaniz Fatima Mim")</f>
        <v>Kaniz Fatima Mim</v>
      </c>
      <c r="AR13" s="97" t="str">
        <f>IFERROR(__xludf.DUMMYFUNCTION("""COMPUTED_VALUE"""),"kaniz.fatima.mim@g.bracu.ac.bd")</f>
        <v>kaniz.fatima.mim@g.bracu.ac.bd</v>
      </c>
      <c r="AS13" s="97"/>
      <c r="AT13" s="100"/>
      <c r="AU13" s="100"/>
      <c r="AV13" s="97"/>
      <c r="AW13" s="97"/>
    </row>
    <row r="14" ht="18.0" customHeight="1">
      <c r="A14" s="74">
        <f>IFERROR(__xludf.DUMMYFUNCTION("""COMPUTED_VALUE"""),6.0)</f>
        <v>6</v>
      </c>
      <c r="B14" s="75" t="str">
        <f>IFERROR(__xludf.DUMMYFUNCTION("""COMPUTED_VALUE"""),"1000057506")</f>
        <v>1000057506</v>
      </c>
      <c r="C14" s="76" t="str">
        <f>IFERROR(__xludf.DUMMYFUNCTION("""COMPUTED_VALUE"""),"Dara Mohammad Shabab")</f>
        <v>Dara Mohammad Shabab</v>
      </c>
      <c r="D14" s="77" t="b">
        <f>IFERROR(__xludf.DUMMYFUNCTION("""COMPUTED_VALUE"""),TRUE)</f>
        <v>1</v>
      </c>
      <c r="E14" s="78">
        <f>IFERROR(__xludf.DUMMYFUNCTION("""COMPUTED_VALUE"""),0.0)</f>
        <v>0</v>
      </c>
      <c r="F14" s="79" t="str">
        <f>IFERROR(__xludf.DUMMYFUNCTION("""COMPUTED_VALUE"""),"OKAY")</f>
        <v>OKAY</v>
      </c>
      <c r="G14" s="80">
        <f>IFERROR(__xludf.DUMMYFUNCTION("""COMPUTED_VALUE"""),1.0)</f>
        <v>1</v>
      </c>
      <c r="H14" s="74">
        <f>IFERROR(__xludf.DUMMYFUNCTION("""COMPUTED_VALUE"""),1.0)</f>
        <v>1</v>
      </c>
      <c r="I14" s="74">
        <f>IFERROR(__xludf.DUMMYFUNCTION("""COMPUTED_VALUE"""),1.0)</f>
        <v>1</v>
      </c>
      <c r="J14" s="81">
        <f>IFERROR(__xludf.DUMMYFUNCTION("""COMPUTED_VALUE"""),1.0)</f>
        <v>1</v>
      </c>
      <c r="K14" s="84">
        <f>IFERROR(__xludf.DUMMYFUNCTION("""COMPUTED_VALUE"""),1.0)</f>
        <v>1</v>
      </c>
      <c r="L14" s="81">
        <f>IFERROR(__xludf.DUMMYFUNCTION("""COMPUTED_VALUE"""),1.0)</f>
        <v>1</v>
      </c>
      <c r="M14" s="81">
        <f>IFERROR(__xludf.DUMMYFUNCTION("""COMPUTED_VALUE"""),1.0)</f>
        <v>1</v>
      </c>
      <c r="N14" s="82">
        <f>IFERROR(__xludf.DUMMYFUNCTION("""COMPUTED_VALUE"""),1.0)</f>
        <v>1</v>
      </c>
      <c r="O14" s="83" t="str">
        <f>IFERROR(__xludf.DUMMYFUNCTION("""COMPUTED_VALUE"""),"-")</f>
        <v>-</v>
      </c>
      <c r="P14" s="84">
        <f>IFERROR(__xludf.DUMMYFUNCTION("""COMPUTED_VALUE"""),5.0)</f>
        <v>5</v>
      </c>
      <c r="Q14" s="74" t="str">
        <f>IFERROR(__xludf.DUMMYFUNCTION("""COMPUTED_VALUE"""),"-")</f>
        <v>-</v>
      </c>
      <c r="R14" s="84" t="str">
        <f>IFERROR(__xludf.DUMMYFUNCTION("""COMPUTED_VALUE"""),"-")</f>
        <v>-</v>
      </c>
      <c r="S14" s="84" t="str">
        <f>IFERROR(__xludf.DUMMYFUNCTION("""COMPUTED_VALUE"""),"-")</f>
        <v>-</v>
      </c>
      <c r="T14" s="84">
        <f>IFERROR(__xludf.DUMMYFUNCTION("""COMPUTED_VALUE"""),4.25)</f>
        <v>4.25</v>
      </c>
      <c r="U14" s="84" t="str">
        <f>IFERROR(__xludf.DUMMYFUNCTION("""COMPUTED_VALUE"""),"-")</f>
        <v>-</v>
      </c>
      <c r="V14" s="85" t="str">
        <f>IFERROR(__xludf.DUMMYFUNCTION("""COMPUTED_VALUE"""),"-")</f>
        <v>-</v>
      </c>
      <c r="W14" s="101">
        <f>IFERROR(__xludf.DUMMYFUNCTION("""COMPUTED_VALUE"""),5.0)</f>
        <v>5</v>
      </c>
      <c r="X14" s="102">
        <f>IFERROR(__xludf.DUMMYFUNCTION("""COMPUTED_VALUE"""),5.0)</f>
        <v>5</v>
      </c>
      <c r="Y14" s="102">
        <f>IFERROR(__xludf.DUMMYFUNCTION("""COMPUTED_VALUE"""),5.0)</f>
        <v>5</v>
      </c>
      <c r="Z14" s="102">
        <f>IFERROR(__xludf.DUMMYFUNCTION("""COMPUTED_VALUE"""),5.0)</f>
        <v>5</v>
      </c>
      <c r="AA14" s="102">
        <f>IFERROR(__xludf.DUMMYFUNCTION("""COMPUTED_VALUE"""),5.0)</f>
        <v>5</v>
      </c>
      <c r="AB14" s="102">
        <f>IFERROR(__xludf.DUMMYFUNCTION("""COMPUTED_VALUE"""),5.0)</f>
        <v>5</v>
      </c>
      <c r="AC14" s="103">
        <f>IFERROR(__xludf.DUMMYFUNCTION("""COMPUTED_VALUE"""),5.0)</f>
        <v>5</v>
      </c>
      <c r="AD14" s="89">
        <f>IFERROR(__xludf.DUMMYFUNCTION("""COMPUTED_VALUE"""),5.0)</f>
        <v>5</v>
      </c>
      <c r="AE14" s="90">
        <f>IFERROR(__xludf.DUMMYFUNCTION("""COMPUTED_VALUE"""),9.25)</f>
        <v>9.25</v>
      </c>
      <c r="AF14" s="74">
        <f>IFERROR(__xludf.DUMMYFUNCTION("""COMPUTED_VALUE"""),5.0)</f>
        <v>5</v>
      </c>
      <c r="AG14" s="74">
        <f>IFERROR(__xludf.DUMMYFUNCTION("""COMPUTED_VALUE"""),10.0)</f>
        <v>10</v>
      </c>
      <c r="AH14" s="91">
        <f>IFERROR(__xludf.DUMMYFUNCTION("""COMPUTED_VALUE"""),2.0)</f>
        <v>2</v>
      </c>
      <c r="AI14" s="92">
        <f>IFERROR(__xludf.DUMMYFUNCTION("""COMPUTED_VALUE"""),0.0)</f>
        <v>0</v>
      </c>
      <c r="AJ14" s="93">
        <f>IFERROR(__xludf.DUMMYFUNCTION("""COMPUTED_VALUE"""),16.167)</f>
        <v>16.167</v>
      </c>
      <c r="AK14" s="94">
        <f>IFERROR(__xludf.DUMMYFUNCTION("""COMPUTED_VALUE"""),2.775)</f>
        <v>2.775</v>
      </c>
      <c r="AL14" s="95">
        <f>IFERROR(__xludf.DUMMYFUNCTION("""COMPUTED_VALUE"""),2.0)</f>
        <v>2</v>
      </c>
      <c r="AM14" s="96">
        <f>IFERROR(__xludf.DUMMYFUNCTION("""COMPUTED_VALUE"""),21.0)</f>
        <v>21</v>
      </c>
      <c r="AN14" s="97"/>
      <c r="AO14" s="97"/>
      <c r="AP14" s="100" t="str">
        <f>IFERROR(__xludf.DUMMYFUNCTION("""COMPUTED_VALUE"""),"24204302")</f>
        <v>24204302</v>
      </c>
      <c r="AQ14" s="100" t="str">
        <f>IFERROR(__xludf.DUMMYFUNCTION("""COMPUTED_VALUE"""),"Md. Farhan Shahriar")</f>
        <v>Md. Farhan Shahriar</v>
      </c>
      <c r="AR14" s="97" t="str">
        <f>IFERROR(__xludf.DUMMYFUNCTION("""COMPUTED_VALUE"""),"md.farhan.shahriar@g.bracu.ac.bd")</f>
        <v>md.farhan.shahriar@g.bracu.ac.bd</v>
      </c>
      <c r="AS14" s="97"/>
      <c r="AT14" s="100"/>
      <c r="AU14" s="100"/>
      <c r="AV14" s="97"/>
      <c r="AW14" s="97"/>
    </row>
    <row r="15" ht="18.0" customHeight="1">
      <c r="A15" s="74">
        <f>IFERROR(__xludf.DUMMYFUNCTION("""COMPUTED_VALUE"""),7.0)</f>
        <v>7</v>
      </c>
      <c r="B15" s="75" t="str">
        <f>IFERROR(__xludf.DUMMYFUNCTION("""COMPUTED_VALUE"""),"1000057556")</f>
        <v>1000057556</v>
      </c>
      <c r="C15" s="76" t="str">
        <f>IFERROR(__xludf.DUMMYFUNCTION("""COMPUTED_VALUE"""),"Md. Abdul Mueed")</f>
        <v>Md. Abdul Mueed</v>
      </c>
      <c r="D15" s="77" t="b">
        <f>IFERROR(__xludf.DUMMYFUNCTION("""COMPUTED_VALUE"""),TRUE)</f>
        <v>1</v>
      </c>
      <c r="E15" s="78">
        <f>IFERROR(__xludf.DUMMYFUNCTION("""COMPUTED_VALUE"""),0.0)</f>
        <v>0</v>
      </c>
      <c r="F15" s="79" t="str">
        <f>IFERROR(__xludf.DUMMYFUNCTION("""COMPUTED_VALUE"""),"OKAY")</f>
        <v>OKAY</v>
      </c>
      <c r="G15" s="80">
        <f>IFERROR(__xludf.DUMMYFUNCTION("""COMPUTED_VALUE"""),1.0)</f>
        <v>1</v>
      </c>
      <c r="H15" s="74">
        <f>IFERROR(__xludf.DUMMYFUNCTION("""COMPUTED_VALUE"""),1.0)</f>
        <v>1</v>
      </c>
      <c r="I15" s="74">
        <f>IFERROR(__xludf.DUMMYFUNCTION("""COMPUTED_VALUE"""),1.0)</f>
        <v>1</v>
      </c>
      <c r="J15" s="81">
        <f>IFERROR(__xludf.DUMMYFUNCTION("""COMPUTED_VALUE"""),1.0)</f>
        <v>1</v>
      </c>
      <c r="K15" s="84">
        <f>IFERROR(__xludf.DUMMYFUNCTION("""COMPUTED_VALUE"""),1.0)</f>
        <v>1</v>
      </c>
      <c r="L15" s="81">
        <f>IFERROR(__xludf.DUMMYFUNCTION("""COMPUTED_VALUE"""),1.0)</f>
        <v>1</v>
      </c>
      <c r="M15" s="81">
        <f>IFERROR(__xludf.DUMMYFUNCTION("""COMPUTED_VALUE"""),1.0)</f>
        <v>1</v>
      </c>
      <c r="N15" s="82">
        <f>IFERROR(__xludf.DUMMYFUNCTION("""COMPUTED_VALUE"""),1.0)</f>
        <v>1</v>
      </c>
      <c r="O15" s="83" t="str">
        <f>IFERROR(__xludf.DUMMYFUNCTION("""COMPUTED_VALUE"""),"-")</f>
        <v>-</v>
      </c>
      <c r="P15" s="84">
        <f>IFERROR(__xludf.DUMMYFUNCTION("""COMPUTED_VALUE"""),2.0)</f>
        <v>2</v>
      </c>
      <c r="Q15" s="84" t="str">
        <f>IFERROR(__xludf.DUMMYFUNCTION("""COMPUTED_VALUE"""),"-")</f>
        <v>-</v>
      </c>
      <c r="R15" s="84" t="str">
        <f>IFERROR(__xludf.DUMMYFUNCTION("""COMPUTED_VALUE"""),"-")</f>
        <v>-</v>
      </c>
      <c r="S15" s="84" t="str">
        <f>IFERROR(__xludf.DUMMYFUNCTION("""COMPUTED_VALUE"""),"-")</f>
        <v>-</v>
      </c>
      <c r="T15" s="84">
        <f>IFERROR(__xludf.DUMMYFUNCTION("""COMPUTED_VALUE"""),4.0)</f>
        <v>4</v>
      </c>
      <c r="U15" s="84" t="str">
        <f>IFERROR(__xludf.DUMMYFUNCTION("""COMPUTED_VALUE"""),"-")</f>
        <v>-</v>
      </c>
      <c r="V15" s="85" t="str">
        <f>IFERROR(__xludf.DUMMYFUNCTION("""COMPUTED_VALUE"""),"-")</f>
        <v>-</v>
      </c>
      <c r="W15" s="101">
        <f>IFERROR(__xludf.DUMMYFUNCTION("""COMPUTED_VALUE"""),5.0)</f>
        <v>5</v>
      </c>
      <c r="X15" s="102">
        <f>IFERROR(__xludf.DUMMYFUNCTION("""COMPUTED_VALUE"""),5.0)</f>
        <v>5</v>
      </c>
      <c r="Y15" s="102">
        <f>IFERROR(__xludf.DUMMYFUNCTION("""COMPUTED_VALUE"""),5.0)</f>
        <v>5</v>
      </c>
      <c r="Z15" s="102">
        <f>IFERROR(__xludf.DUMMYFUNCTION("""COMPUTED_VALUE"""),5.0)</f>
        <v>5</v>
      </c>
      <c r="AA15" s="102">
        <f>IFERROR(__xludf.DUMMYFUNCTION("""COMPUTED_VALUE"""),5.0)</f>
        <v>5</v>
      </c>
      <c r="AB15" s="102">
        <f>IFERROR(__xludf.DUMMYFUNCTION("""COMPUTED_VALUE"""),5.0)</f>
        <v>5</v>
      </c>
      <c r="AC15" s="103">
        <f>IFERROR(__xludf.DUMMYFUNCTION("""COMPUTED_VALUE"""),5.0)</f>
        <v>5</v>
      </c>
      <c r="AD15" s="89">
        <f>IFERROR(__xludf.DUMMYFUNCTION("""COMPUTED_VALUE"""),5.0)</f>
        <v>5</v>
      </c>
      <c r="AE15" s="83">
        <f>IFERROR(__xludf.DUMMYFUNCTION("""COMPUTED_VALUE"""),7.5)</f>
        <v>7.5</v>
      </c>
      <c r="AF15" s="74">
        <f>IFERROR(__xludf.DUMMYFUNCTION("""COMPUTED_VALUE"""),8.0)</f>
        <v>8</v>
      </c>
      <c r="AG15" s="74">
        <f>IFERROR(__xludf.DUMMYFUNCTION("""COMPUTED_VALUE"""),8.75)</f>
        <v>8.75</v>
      </c>
      <c r="AH15" s="91">
        <f>IFERROR(__xludf.DUMMYFUNCTION("""COMPUTED_VALUE"""),1.0)</f>
        <v>1</v>
      </c>
      <c r="AI15" s="92">
        <f>IFERROR(__xludf.DUMMYFUNCTION("""COMPUTED_VALUE"""),0.0)</f>
        <v>0</v>
      </c>
      <c r="AJ15" s="93">
        <f>IFERROR(__xludf.DUMMYFUNCTION("""COMPUTED_VALUE"""),16.167)</f>
        <v>16.167</v>
      </c>
      <c r="AK15" s="94">
        <f>IFERROR(__xludf.DUMMYFUNCTION("""COMPUTED_VALUE"""),1.8)</f>
        <v>1.8</v>
      </c>
      <c r="AL15" s="95">
        <f>IFERROR(__xludf.DUMMYFUNCTION("""COMPUTED_VALUE"""),2.0)</f>
        <v>2</v>
      </c>
      <c r="AM15" s="96">
        <f>IFERROR(__xludf.DUMMYFUNCTION("""COMPUTED_VALUE"""),20.0)</f>
        <v>20</v>
      </c>
      <c r="AN15" s="97"/>
      <c r="AO15" s="97"/>
      <c r="AP15" s="100" t="str">
        <f>IFERROR(__xludf.DUMMYFUNCTION("""COMPUTED_VALUE"""),"24301548")</f>
        <v>24301548</v>
      </c>
      <c r="AQ15" s="100" t="str">
        <f>IFERROR(__xludf.DUMMYFUNCTION("""COMPUTED_VALUE"""),"Shahira Zaman")</f>
        <v>Shahira Zaman</v>
      </c>
      <c r="AR15" s="97" t="str">
        <f>IFERROR(__xludf.DUMMYFUNCTION("""COMPUTED_VALUE"""),"shahira.zaman@g.bracu.ac.bd")</f>
        <v>shahira.zaman@g.bracu.ac.bd</v>
      </c>
      <c r="AS15" s="97"/>
      <c r="AT15" s="100"/>
      <c r="AU15" s="100"/>
      <c r="AV15" s="97"/>
      <c r="AW15" s="97"/>
    </row>
    <row r="16" ht="18.0" customHeight="1">
      <c r="A16" s="74">
        <f>IFERROR(__xludf.DUMMYFUNCTION("""COMPUTED_VALUE"""),8.0)</f>
        <v>8</v>
      </c>
      <c r="B16" s="75" t="str">
        <f>IFERROR(__xludf.DUMMYFUNCTION("""COMPUTED_VALUE"""),"1000057682")</f>
        <v>1000057682</v>
      </c>
      <c r="C16" s="76" t="str">
        <f>IFERROR(__xludf.DUMMYFUNCTION("""COMPUTED_VALUE"""),"Aaryan Tahmim Rahman")</f>
        <v>Aaryan Tahmim Rahman</v>
      </c>
      <c r="D16" s="77" t="b">
        <f>IFERROR(__xludf.DUMMYFUNCTION("""COMPUTED_VALUE"""),TRUE)</f>
        <v>1</v>
      </c>
      <c r="E16" s="78">
        <f>IFERROR(__xludf.DUMMYFUNCTION("""COMPUTED_VALUE"""),1.0)</f>
        <v>1</v>
      </c>
      <c r="F16" s="79" t="str">
        <f>IFERROR(__xludf.DUMMYFUNCTION("""COMPUTED_VALUE"""),"WARNING")</f>
        <v>WARNING</v>
      </c>
      <c r="G16" s="80">
        <f>IFERROR(__xludf.DUMMYFUNCTION("""COMPUTED_VALUE"""),1.0)</f>
        <v>1</v>
      </c>
      <c r="H16" s="74">
        <f>IFERROR(__xludf.DUMMYFUNCTION("""COMPUTED_VALUE"""),1.0)</f>
        <v>1</v>
      </c>
      <c r="I16" s="74">
        <f>IFERROR(__xludf.DUMMYFUNCTION("""COMPUTED_VALUE"""),0.0)</f>
        <v>0</v>
      </c>
      <c r="J16" s="81">
        <f>IFERROR(__xludf.DUMMYFUNCTION("""COMPUTED_VALUE"""),1.0)</f>
        <v>1</v>
      </c>
      <c r="K16" s="84">
        <f>IFERROR(__xludf.DUMMYFUNCTION("""COMPUTED_VALUE"""),1.0)</f>
        <v>1</v>
      </c>
      <c r="L16" s="81">
        <f>IFERROR(__xludf.DUMMYFUNCTION("""COMPUTED_VALUE"""),1.0)</f>
        <v>1</v>
      </c>
      <c r="M16" s="81">
        <f>IFERROR(__xludf.DUMMYFUNCTION("""COMPUTED_VALUE"""),1.0)</f>
        <v>1</v>
      </c>
      <c r="N16" s="82">
        <f>IFERROR(__xludf.DUMMYFUNCTION("""COMPUTED_VALUE"""),1.0)</f>
        <v>1</v>
      </c>
      <c r="O16" s="83" t="str">
        <f>IFERROR(__xludf.DUMMYFUNCTION("""COMPUTED_VALUE"""),"-")</f>
        <v>-</v>
      </c>
      <c r="P16" s="84">
        <f>IFERROR(__xludf.DUMMYFUNCTION("""COMPUTED_VALUE"""),5.0)</f>
        <v>5</v>
      </c>
      <c r="Q16" s="84" t="str">
        <f>IFERROR(__xludf.DUMMYFUNCTION("""COMPUTED_VALUE"""),"a")</f>
        <v>a</v>
      </c>
      <c r="R16" s="84" t="str">
        <f>IFERROR(__xludf.DUMMYFUNCTION("""COMPUTED_VALUE"""),"-")</f>
        <v>-</v>
      </c>
      <c r="S16" s="84" t="str">
        <f>IFERROR(__xludf.DUMMYFUNCTION("""COMPUTED_VALUE"""),"-")</f>
        <v>-</v>
      </c>
      <c r="T16" s="84">
        <f>IFERROR(__xludf.DUMMYFUNCTION("""COMPUTED_VALUE"""),5.0)</f>
        <v>5</v>
      </c>
      <c r="U16" s="84" t="str">
        <f>IFERROR(__xludf.DUMMYFUNCTION("""COMPUTED_VALUE"""),"-")</f>
        <v>-</v>
      </c>
      <c r="V16" s="85" t="str">
        <f>IFERROR(__xludf.DUMMYFUNCTION("""COMPUTED_VALUE"""),"-")</f>
        <v>-</v>
      </c>
      <c r="W16" s="101">
        <f>IFERROR(__xludf.DUMMYFUNCTION("""COMPUTED_VALUE"""),3.0)</f>
        <v>3</v>
      </c>
      <c r="X16" s="102">
        <f>IFERROR(__xludf.DUMMYFUNCTION("""COMPUTED_VALUE"""),3.3333333333333335)</f>
        <v>3.333333333</v>
      </c>
      <c r="Y16" s="102">
        <f>IFERROR(__xludf.DUMMYFUNCTION("""COMPUTED_VALUE"""),4.875)</f>
        <v>4.875</v>
      </c>
      <c r="Z16" s="102">
        <f>IFERROR(__xludf.DUMMYFUNCTION("""COMPUTED_VALUE"""),5.0)</f>
        <v>5</v>
      </c>
      <c r="AA16" s="102">
        <f>IFERROR(__xludf.DUMMYFUNCTION("""COMPUTED_VALUE"""),4.285714285714286)</f>
        <v>4.285714286</v>
      </c>
      <c r="AB16" s="102">
        <f>IFERROR(__xludf.DUMMYFUNCTION("""COMPUTED_VALUE"""),5.0)</f>
        <v>5</v>
      </c>
      <c r="AC16" s="103">
        <f>IFERROR(__xludf.DUMMYFUNCTION("""COMPUTED_VALUE"""),5.0)</f>
        <v>5</v>
      </c>
      <c r="AD16" s="89">
        <f>IFERROR(__xludf.DUMMYFUNCTION("""COMPUTED_VALUE"""),5.0)</f>
        <v>5</v>
      </c>
      <c r="AE16" s="83">
        <f>IFERROR(__xludf.DUMMYFUNCTION("""COMPUTED_VALUE"""),10.0)</f>
        <v>10</v>
      </c>
      <c r="AF16" s="84">
        <f>IFERROR(__xludf.DUMMYFUNCTION("""COMPUTED_VALUE"""),9.5)</f>
        <v>9.5</v>
      </c>
      <c r="AG16" s="74">
        <f>IFERROR(__xludf.DUMMYFUNCTION("""COMPUTED_VALUE"""),10.0)</f>
        <v>10</v>
      </c>
      <c r="AH16" s="91">
        <f>IFERROR(__xludf.DUMMYFUNCTION("""COMPUTED_VALUE"""),1.0)</f>
        <v>1</v>
      </c>
      <c r="AI16" s="92">
        <f>IFERROR(__xludf.DUMMYFUNCTION("""COMPUTED_VALUE"""),0.0)</f>
        <v>0</v>
      </c>
      <c r="AJ16" s="93">
        <f>IFERROR(__xludf.DUMMYFUNCTION("""COMPUTED_VALUE"""),19.667)</f>
        <v>19.667</v>
      </c>
      <c r="AK16" s="94">
        <f>IFERROR(__xludf.DUMMYFUNCTION("""COMPUTED_VALUE"""),3.0)</f>
        <v>3</v>
      </c>
      <c r="AL16" s="95">
        <f>IFERROR(__xludf.DUMMYFUNCTION("""COMPUTED_VALUE"""),1.775)</f>
        <v>1.775</v>
      </c>
      <c r="AM16" s="96">
        <f>IFERROR(__xludf.DUMMYFUNCTION("""COMPUTED_VALUE"""),24.5)</f>
        <v>24.5</v>
      </c>
      <c r="AN16" s="97"/>
      <c r="AO16" s="97"/>
      <c r="AP16" s="100" t="str">
        <f>IFERROR(__xludf.DUMMYFUNCTION("""COMPUTED_VALUE"""),"20111008")</f>
        <v>20111008</v>
      </c>
      <c r="AQ16" s="100" t="str">
        <f>IFERROR(__xludf.DUMMYFUNCTION("""COMPUTED_VALUE"""),"Anika Tabassum Richa")</f>
        <v>Anika Tabassum Richa</v>
      </c>
      <c r="AR16" s="97" t="str">
        <f>IFERROR(__xludf.DUMMYFUNCTION("""COMPUTED_VALUE"""),"a.t.richa7@gmail.com")</f>
        <v>a.t.richa7@gmail.com</v>
      </c>
      <c r="AS16" s="97"/>
      <c r="AT16" s="100"/>
      <c r="AU16" s="100"/>
      <c r="AV16" s="97"/>
      <c r="AW16" s="97"/>
    </row>
    <row r="17" ht="18.0" customHeight="1">
      <c r="A17" s="74">
        <f>IFERROR(__xludf.DUMMYFUNCTION("""COMPUTED_VALUE"""),9.0)</f>
        <v>9</v>
      </c>
      <c r="B17" s="75" t="str">
        <f>IFERROR(__xludf.DUMMYFUNCTION("""COMPUTED_VALUE"""),"1000058162")</f>
        <v>1000058162</v>
      </c>
      <c r="C17" s="76" t="str">
        <f>IFERROR(__xludf.DUMMYFUNCTION("""COMPUTED_VALUE"""),"Nawshin Mahjabin Namira")</f>
        <v>Nawshin Mahjabin Namira</v>
      </c>
      <c r="D17" s="77" t="b">
        <f>IFERROR(__xludf.DUMMYFUNCTION("""COMPUTED_VALUE"""),TRUE)</f>
        <v>1</v>
      </c>
      <c r="E17" s="78">
        <f>IFERROR(__xludf.DUMMYFUNCTION("""COMPUTED_VALUE"""),3.0)</f>
        <v>3</v>
      </c>
      <c r="F17" s="79" t="str">
        <f>IFERROR(__xludf.DUMMYFUNCTION("""COMPUTED_VALUE"""),"BARRED")</f>
        <v>BARRED</v>
      </c>
      <c r="G17" s="80">
        <f>IFERROR(__xludf.DUMMYFUNCTION("""COMPUTED_VALUE"""),1.0)</f>
        <v>1</v>
      </c>
      <c r="H17" s="74" t="str">
        <f>IFERROR(__xludf.DUMMYFUNCTION("""COMPUTED_VALUE"""),"S")</f>
        <v>S</v>
      </c>
      <c r="I17" s="74" t="str">
        <f>IFERROR(__xludf.DUMMYFUNCTION("""COMPUTED_VALUE"""),"S")</f>
        <v>S</v>
      </c>
      <c r="J17" s="81">
        <f>IFERROR(__xludf.DUMMYFUNCTION("""COMPUTED_VALUE"""),1.0)</f>
        <v>1</v>
      </c>
      <c r="K17" s="84">
        <f>IFERROR(__xludf.DUMMYFUNCTION("""COMPUTED_VALUE"""),0.0)</f>
        <v>0</v>
      </c>
      <c r="L17" s="81">
        <f>IFERROR(__xludf.DUMMYFUNCTION("""COMPUTED_VALUE"""),1.0)</f>
        <v>1</v>
      </c>
      <c r="M17" s="81">
        <f>IFERROR(__xludf.DUMMYFUNCTION("""COMPUTED_VALUE"""),0.0)</f>
        <v>0</v>
      </c>
      <c r="N17" s="82">
        <f>IFERROR(__xludf.DUMMYFUNCTION("""COMPUTED_VALUE"""),0.0)</f>
        <v>0</v>
      </c>
      <c r="O17" s="83" t="str">
        <f>IFERROR(__xludf.DUMMYFUNCTION("""COMPUTED_VALUE"""),"-")</f>
        <v>-</v>
      </c>
      <c r="P17" s="84" t="str">
        <f>IFERROR(__xludf.DUMMYFUNCTION("""COMPUTED_VALUE"""),"S")</f>
        <v>S</v>
      </c>
      <c r="Q17" s="84" t="str">
        <f>IFERROR(__xludf.DUMMYFUNCTION("""COMPUTED_VALUE"""),"S")</f>
        <v>S</v>
      </c>
      <c r="R17" s="84" t="str">
        <f>IFERROR(__xludf.DUMMYFUNCTION("""COMPUTED_VALUE"""),"-")</f>
        <v>-</v>
      </c>
      <c r="S17" s="84" t="str">
        <f>IFERROR(__xludf.DUMMYFUNCTION("""COMPUTED_VALUE"""),"a")</f>
        <v>a</v>
      </c>
      <c r="T17" s="84">
        <f>IFERROR(__xludf.DUMMYFUNCTION("""COMPUTED_VALUE"""),4.8)</f>
        <v>4.8</v>
      </c>
      <c r="U17" s="84" t="str">
        <f>IFERROR(__xludf.DUMMYFUNCTION("""COMPUTED_VALUE"""),"a")</f>
        <v>a</v>
      </c>
      <c r="V17" s="85" t="str">
        <f>IFERROR(__xludf.DUMMYFUNCTION("""COMPUTED_VALUE"""),"a")</f>
        <v>a</v>
      </c>
      <c r="W17" s="101" t="str">
        <f>IFERROR(__xludf.DUMMYFUNCTION("""COMPUTED_VALUE"""),"P")</f>
        <v>P</v>
      </c>
      <c r="X17" s="102">
        <f>IFERROR(__xludf.DUMMYFUNCTION("""COMPUTED_VALUE"""),3.3333333333333335)</f>
        <v>3.333333333</v>
      </c>
      <c r="Y17" s="102" t="str">
        <f>IFERROR(__xludf.DUMMYFUNCTION("""COMPUTED_VALUE"""),"N")</f>
        <v>N</v>
      </c>
      <c r="Z17" s="102" t="str">
        <f>IFERROR(__xludf.DUMMYFUNCTION("""COMPUTED_VALUE"""),"N")</f>
        <v>N</v>
      </c>
      <c r="AA17" s="102" t="str">
        <f>IFERROR(__xludf.DUMMYFUNCTION("""COMPUTED_VALUE"""),"N")</f>
        <v>N</v>
      </c>
      <c r="AB17" s="102" t="str">
        <f>IFERROR(__xludf.DUMMYFUNCTION("""COMPUTED_VALUE"""),"N")</f>
        <v>N</v>
      </c>
      <c r="AC17" s="103" t="str">
        <f>IFERROR(__xludf.DUMMYFUNCTION("""COMPUTED_VALUE"""),"N")</f>
        <v>N</v>
      </c>
      <c r="AD17" s="89" t="str">
        <f>IFERROR(__xludf.DUMMYFUNCTION("""COMPUTED_VALUE"""),"N")</f>
        <v>N</v>
      </c>
      <c r="AE17" s="83" t="str">
        <f>IFERROR(__xludf.DUMMYFUNCTION("""COMPUTED_VALUE"""),"-")</f>
        <v>-</v>
      </c>
      <c r="AF17" s="74">
        <f>IFERROR(__xludf.DUMMYFUNCTION("""COMPUTED_VALUE"""),1.5)</f>
        <v>1.5</v>
      </c>
      <c r="AG17" s="84"/>
      <c r="AH17" s="85"/>
      <c r="AI17" s="92">
        <f>IFERROR(__xludf.DUMMYFUNCTION("""COMPUTED_VALUE"""),0.0)</f>
        <v>0</v>
      </c>
      <c r="AJ17" s="93">
        <f>IFERROR(__xludf.DUMMYFUNCTION("""COMPUTED_VALUE"""),1.0)</f>
        <v>1</v>
      </c>
      <c r="AK17" s="94">
        <f>IFERROR(__xludf.DUMMYFUNCTION("""COMPUTED_VALUE"""),1.44)</f>
        <v>1.44</v>
      </c>
      <c r="AL17" s="95">
        <f>IFERROR(__xludf.DUMMYFUNCTION("""COMPUTED_VALUE"""),0.167)</f>
        <v>0.167</v>
      </c>
      <c r="AM17" s="96">
        <f>IFERROR(__xludf.DUMMYFUNCTION("""COMPUTED_VALUE"""),0.0)</f>
        <v>0</v>
      </c>
      <c r="AN17" s="97"/>
      <c r="AO17" s="97"/>
      <c r="AP17" s="100"/>
      <c r="AQ17" s="100"/>
      <c r="AR17" s="97"/>
      <c r="AS17" s="97"/>
      <c r="AT17" s="100"/>
      <c r="AU17" s="100"/>
      <c r="AV17" s="97"/>
      <c r="AW17" s="97"/>
    </row>
    <row r="18" ht="18.0" customHeight="1">
      <c r="A18" s="74">
        <f>IFERROR(__xludf.DUMMYFUNCTION("""COMPUTED_VALUE"""),10.0)</f>
        <v>10</v>
      </c>
      <c r="B18" s="75" t="str">
        <f>IFERROR(__xludf.DUMMYFUNCTION("""COMPUTED_VALUE"""),"1000058196")</f>
        <v>1000058196</v>
      </c>
      <c r="C18" s="76" t="str">
        <f>IFERROR(__xludf.DUMMYFUNCTION("""COMPUTED_VALUE"""),"Hossain Bin Al Nafi")</f>
        <v>Hossain Bin Al Nafi</v>
      </c>
      <c r="D18" s="77" t="b">
        <f>IFERROR(__xludf.DUMMYFUNCTION("""COMPUTED_VALUE"""),FALSE)</f>
        <v>0</v>
      </c>
      <c r="E18" s="78">
        <f>IFERROR(__xludf.DUMMYFUNCTION("""COMPUTED_VALUE"""),7.0)</f>
        <v>7</v>
      </c>
      <c r="F18" s="79" t="str">
        <f>IFERROR(__xludf.DUMMYFUNCTION("""COMPUTED_VALUE"""),"BARRED")</f>
        <v>BARRED</v>
      </c>
      <c r="G18" s="80">
        <f>IFERROR(__xludf.DUMMYFUNCTION("""COMPUTED_VALUE"""),0.0)</f>
        <v>0</v>
      </c>
      <c r="H18" s="74">
        <f>IFERROR(__xludf.DUMMYFUNCTION("""COMPUTED_VALUE"""),0.0)</f>
        <v>0</v>
      </c>
      <c r="I18" s="74">
        <f>IFERROR(__xludf.DUMMYFUNCTION("""COMPUTED_VALUE"""),0.0)</f>
        <v>0</v>
      </c>
      <c r="J18" s="81">
        <f>IFERROR(__xludf.DUMMYFUNCTION("""COMPUTED_VALUE"""),0.0)</f>
        <v>0</v>
      </c>
      <c r="K18" s="84">
        <f>IFERROR(__xludf.DUMMYFUNCTION("""COMPUTED_VALUE"""),0.0)</f>
        <v>0</v>
      </c>
      <c r="L18" s="81">
        <f>IFERROR(__xludf.DUMMYFUNCTION("""COMPUTED_VALUE"""),0.0)</f>
        <v>0</v>
      </c>
      <c r="M18" s="81">
        <f>IFERROR(__xludf.DUMMYFUNCTION("""COMPUTED_VALUE"""),0.0)</f>
        <v>0</v>
      </c>
      <c r="N18" s="82">
        <f>IFERROR(__xludf.DUMMYFUNCTION("""COMPUTED_VALUE"""),0.0)</f>
        <v>0</v>
      </c>
      <c r="O18" s="83" t="str">
        <f>IFERROR(__xludf.DUMMYFUNCTION("""COMPUTED_VALUE"""),"A")</f>
        <v>A</v>
      </c>
      <c r="P18" s="84" t="str">
        <f>IFERROR(__xludf.DUMMYFUNCTION("""COMPUTED_VALUE"""),"a")</f>
        <v>a</v>
      </c>
      <c r="Q18" s="84" t="str">
        <f>IFERROR(__xludf.DUMMYFUNCTION("""COMPUTED_VALUE"""),"a")</f>
        <v>a</v>
      </c>
      <c r="R18" s="84" t="str">
        <f>IFERROR(__xludf.DUMMYFUNCTION("""COMPUTED_VALUE"""),"a")</f>
        <v>a</v>
      </c>
      <c r="S18" s="84" t="str">
        <f>IFERROR(__xludf.DUMMYFUNCTION("""COMPUTED_VALUE"""),"a")</f>
        <v>a</v>
      </c>
      <c r="T18" s="74" t="str">
        <f>IFERROR(__xludf.DUMMYFUNCTION("""COMPUTED_VALUE"""),"a")</f>
        <v>a</v>
      </c>
      <c r="U18" s="74" t="str">
        <f>IFERROR(__xludf.DUMMYFUNCTION("""COMPUTED_VALUE"""),"a")</f>
        <v>a</v>
      </c>
      <c r="V18" s="85" t="str">
        <f>IFERROR(__xludf.DUMMYFUNCTION("""COMPUTED_VALUE"""),"a")</f>
        <v>a</v>
      </c>
      <c r="W18" s="101" t="str">
        <f>IFERROR(__xludf.DUMMYFUNCTION("""COMPUTED_VALUE"""),"N")</f>
        <v>N</v>
      </c>
      <c r="X18" s="102" t="str">
        <f>IFERROR(__xludf.DUMMYFUNCTION("""COMPUTED_VALUE"""),"N")</f>
        <v>N</v>
      </c>
      <c r="Y18" s="102" t="str">
        <f>IFERROR(__xludf.DUMMYFUNCTION("""COMPUTED_VALUE"""),"N")</f>
        <v>N</v>
      </c>
      <c r="Z18" s="102" t="str">
        <f>IFERROR(__xludf.DUMMYFUNCTION("""COMPUTED_VALUE"""),"N")</f>
        <v>N</v>
      </c>
      <c r="AA18" s="102" t="str">
        <f>IFERROR(__xludf.DUMMYFUNCTION("""COMPUTED_VALUE"""),"N")</f>
        <v>N</v>
      </c>
      <c r="AB18" s="102" t="str">
        <f>IFERROR(__xludf.DUMMYFUNCTION("""COMPUTED_VALUE"""),"N")</f>
        <v>N</v>
      </c>
      <c r="AC18" s="103" t="str">
        <f>IFERROR(__xludf.DUMMYFUNCTION("""COMPUTED_VALUE"""),"N")</f>
        <v>N</v>
      </c>
      <c r="AD18" s="89" t="str">
        <f>IFERROR(__xludf.DUMMYFUNCTION("""COMPUTED_VALUE"""),"N")</f>
        <v>N</v>
      </c>
      <c r="AE18" s="83" t="str">
        <f>IFERROR(__xludf.DUMMYFUNCTION("""COMPUTED_VALUE"""),"-")</f>
        <v>-</v>
      </c>
      <c r="AF18" s="84" t="str">
        <f>IFERROR(__xludf.DUMMYFUNCTION("""COMPUTED_VALUE"""),"-")</f>
        <v>-</v>
      </c>
      <c r="AG18" s="84"/>
      <c r="AH18" s="85"/>
      <c r="AI18" s="92">
        <f>IFERROR(__xludf.DUMMYFUNCTION("""COMPUTED_VALUE"""),0.0)</f>
        <v>0</v>
      </c>
      <c r="AJ18" s="93">
        <f>IFERROR(__xludf.DUMMYFUNCTION("""COMPUTED_VALUE"""),0.0)</f>
        <v>0</v>
      </c>
      <c r="AK18" s="94">
        <f>IFERROR(__xludf.DUMMYFUNCTION("""COMPUTED_VALUE"""),0.0)</f>
        <v>0</v>
      </c>
      <c r="AL18" s="95">
        <f>IFERROR(__xludf.DUMMYFUNCTION("""COMPUTED_VALUE"""),0.0)</f>
        <v>0</v>
      </c>
      <c r="AM18" s="96">
        <f>IFERROR(__xludf.DUMMYFUNCTION("""COMPUTED_VALUE"""),0.0)</f>
        <v>0</v>
      </c>
      <c r="AN18" s="97"/>
      <c r="AO18" s="97"/>
      <c r="AP18" s="100"/>
      <c r="AQ18" s="100"/>
      <c r="AR18" s="97"/>
      <c r="AS18" s="97"/>
      <c r="AT18" s="100"/>
      <c r="AU18" s="100"/>
      <c r="AV18" s="97"/>
      <c r="AW18" s="97"/>
    </row>
    <row r="19" ht="18.0" customHeight="1">
      <c r="A19" s="74">
        <f>IFERROR(__xludf.DUMMYFUNCTION("""COMPUTED_VALUE"""),11.0)</f>
        <v>11</v>
      </c>
      <c r="B19" s="75" t="str">
        <f>IFERROR(__xludf.DUMMYFUNCTION("""COMPUTED_VALUE"""),"1000058469")</f>
        <v>1000058469</v>
      </c>
      <c r="C19" s="76" t="str">
        <f>IFERROR(__xludf.DUMMYFUNCTION("""COMPUTED_VALUE"""),"Barira Bushra")</f>
        <v>Barira Bushra</v>
      </c>
      <c r="D19" s="77" t="b">
        <f>IFERROR(__xludf.DUMMYFUNCTION("""COMPUTED_VALUE"""),FALSE)</f>
        <v>0</v>
      </c>
      <c r="E19" s="78">
        <f>IFERROR(__xludf.DUMMYFUNCTION("""COMPUTED_VALUE"""),7.0)</f>
        <v>7</v>
      </c>
      <c r="F19" s="79" t="str">
        <f>IFERROR(__xludf.DUMMYFUNCTION("""COMPUTED_VALUE"""),"BARRED")</f>
        <v>BARRED</v>
      </c>
      <c r="G19" s="80">
        <f>IFERROR(__xludf.DUMMYFUNCTION("""COMPUTED_VALUE"""),0.0)</f>
        <v>0</v>
      </c>
      <c r="H19" s="74">
        <f>IFERROR(__xludf.DUMMYFUNCTION("""COMPUTED_VALUE"""),0.0)</f>
        <v>0</v>
      </c>
      <c r="I19" s="74">
        <f>IFERROR(__xludf.DUMMYFUNCTION("""COMPUTED_VALUE"""),0.0)</f>
        <v>0</v>
      </c>
      <c r="J19" s="81">
        <f>IFERROR(__xludf.DUMMYFUNCTION("""COMPUTED_VALUE"""),0.0)</f>
        <v>0</v>
      </c>
      <c r="K19" s="84">
        <f>IFERROR(__xludf.DUMMYFUNCTION("""COMPUTED_VALUE"""),0.0)</f>
        <v>0</v>
      </c>
      <c r="L19" s="81">
        <f>IFERROR(__xludf.DUMMYFUNCTION("""COMPUTED_VALUE"""),0.0)</f>
        <v>0</v>
      </c>
      <c r="M19" s="81">
        <f>IFERROR(__xludf.DUMMYFUNCTION("""COMPUTED_VALUE"""),0.0)</f>
        <v>0</v>
      </c>
      <c r="N19" s="82">
        <f>IFERROR(__xludf.DUMMYFUNCTION("""COMPUTED_VALUE"""),0.0)</f>
        <v>0</v>
      </c>
      <c r="O19" s="83" t="str">
        <f>IFERROR(__xludf.DUMMYFUNCTION("""COMPUTED_VALUE"""),"A")</f>
        <v>A</v>
      </c>
      <c r="P19" s="84" t="str">
        <f>IFERROR(__xludf.DUMMYFUNCTION("""COMPUTED_VALUE"""),"a")</f>
        <v>a</v>
      </c>
      <c r="Q19" s="84" t="str">
        <f>IFERROR(__xludf.DUMMYFUNCTION("""COMPUTED_VALUE"""),"a")</f>
        <v>a</v>
      </c>
      <c r="R19" s="84" t="str">
        <f>IFERROR(__xludf.DUMMYFUNCTION("""COMPUTED_VALUE"""),"a")</f>
        <v>a</v>
      </c>
      <c r="S19" s="84" t="str">
        <f>IFERROR(__xludf.DUMMYFUNCTION("""COMPUTED_VALUE"""),"a")</f>
        <v>a</v>
      </c>
      <c r="T19" s="84" t="str">
        <f>IFERROR(__xludf.DUMMYFUNCTION("""COMPUTED_VALUE"""),"a")</f>
        <v>a</v>
      </c>
      <c r="U19" s="84" t="str">
        <f>IFERROR(__xludf.DUMMYFUNCTION("""COMPUTED_VALUE"""),"a")</f>
        <v>a</v>
      </c>
      <c r="V19" s="85" t="str">
        <f>IFERROR(__xludf.DUMMYFUNCTION("""COMPUTED_VALUE"""),"a")</f>
        <v>a</v>
      </c>
      <c r="W19" s="101" t="str">
        <f>IFERROR(__xludf.DUMMYFUNCTION("""COMPUTED_VALUE"""),"N")</f>
        <v>N</v>
      </c>
      <c r="X19" s="102" t="str">
        <f>IFERROR(__xludf.DUMMYFUNCTION("""COMPUTED_VALUE"""),"N")</f>
        <v>N</v>
      </c>
      <c r="Y19" s="87" t="str">
        <f>IFERROR(__xludf.DUMMYFUNCTION("""COMPUTED_VALUE"""),"N")</f>
        <v>N</v>
      </c>
      <c r="Z19" s="87" t="str">
        <f>IFERROR(__xludf.DUMMYFUNCTION("""COMPUTED_VALUE"""),"N")</f>
        <v>N</v>
      </c>
      <c r="AA19" s="87" t="str">
        <f>IFERROR(__xludf.DUMMYFUNCTION("""COMPUTED_VALUE"""),"N")</f>
        <v>N</v>
      </c>
      <c r="AB19" s="102" t="str">
        <f>IFERROR(__xludf.DUMMYFUNCTION("""COMPUTED_VALUE"""),"N")</f>
        <v>N</v>
      </c>
      <c r="AC19" s="103" t="str">
        <f>IFERROR(__xludf.DUMMYFUNCTION("""COMPUTED_VALUE"""),"N")</f>
        <v>N</v>
      </c>
      <c r="AD19" s="89" t="str">
        <f>IFERROR(__xludf.DUMMYFUNCTION("""COMPUTED_VALUE"""),"N")</f>
        <v>N</v>
      </c>
      <c r="AE19" s="83" t="str">
        <f>IFERROR(__xludf.DUMMYFUNCTION("""COMPUTED_VALUE"""),"-")</f>
        <v>-</v>
      </c>
      <c r="AF19" s="84" t="str">
        <f>IFERROR(__xludf.DUMMYFUNCTION("""COMPUTED_VALUE"""),"-")</f>
        <v>-</v>
      </c>
      <c r="AG19" s="84"/>
      <c r="AH19" s="85"/>
      <c r="AI19" s="92">
        <f>IFERROR(__xludf.DUMMYFUNCTION("""COMPUTED_VALUE"""),0.0)</f>
        <v>0</v>
      </c>
      <c r="AJ19" s="93">
        <f>IFERROR(__xludf.DUMMYFUNCTION("""COMPUTED_VALUE"""),0.0)</f>
        <v>0</v>
      </c>
      <c r="AK19" s="94">
        <f>IFERROR(__xludf.DUMMYFUNCTION("""COMPUTED_VALUE"""),0.0)</f>
        <v>0</v>
      </c>
      <c r="AL19" s="95">
        <f>IFERROR(__xludf.DUMMYFUNCTION("""COMPUTED_VALUE"""),0.0)</f>
        <v>0</v>
      </c>
      <c r="AM19" s="96">
        <f>IFERROR(__xludf.DUMMYFUNCTION("""COMPUTED_VALUE"""),0.0)</f>
        <v>0</v>
      </c>
      <c r="AN19" s="97"/>
      <c r="AO19" s="97"/>
      <c r="AP19" s="100"/>
      <c r="AQ19" s="100"/>
      <c r="AR19" s="97"/>
      <c r="AS19" s="97"/>
      <c r="AT19" s="100"/>
      <c r="AU19" s="100"/>
      <c r="AV19" s="97"/>
      <c r="AW19" s="97"/>
    </row>
    <row r="20" ht="18.0" customHeight="1">
      <c r="A20" s="74">
        <f>IFERROR(__xludf.DUMMYFUNCTION("""COMPUTED_VALUE"""),12.0)</f>
        <v>12</v>
      </c>
      <c r="B20" s="75" t="str">
        <f>IFERROR(__xludf.DUMMYFUNCTION("""COMPUTED_VALUE"""),"1000058541")</f>
        <v>1000058541</v>
      </c>
      <c r="C20" s="76" t="str">
        <f>IFERROR(__xludf.DUMMYFUNCTION("""COMPUTED_VALUE"""),"Aparajita Nath Shirssa")</f>
        <v>Aparajita Nath Shirssa</v>
      </c>
      <c r="D20" s="77" t="b">
        <f>IFERROR(__xludf.DUMMYFUNCTION("""COMPUTED_VALUE"""),TRUE)</f>
        <v>1</v>
      </c>
      <c r="E20" s="78">
        <f>IFERROR(__xludf.DUMMYFUNCTION("""COMPUTED_VALUE"""),0.0)</f>
        <v>0</v>
      </c>
      <c r="F20" s="79" t="str">
        <f>IFERROR(__xludf.DUMMYFUNCTION("""COMPUTED_VALUE"""),"OKAY")</f>
        <v>OKAY</v>
      </c>
      <c r="G20" s="80">
        <f>IFERROR(__xludf.DUMMYFUNCTION("""COMPUTED_VALUE"""),1.0)</f>
        <v>1</v>
      </c>
      <c r="H20" s="74">
        <f>IFERROR(__xludf.DUMMYFUNCTION("""COMPUTED_VALUE"""),1.0)</f>
        <v>1</v>
      </c>
      <c r="I20" s="74">
        <f>IFERROR(__xludf.DUMMYFUNCTION("""COMPUTED_VALUE"""),1.0)</f>
        <v>1</v>
      </c>
      <c r="J20" s="81">
        <f>IFERROR(__xludf.DUMMYFUNCTION("""COMPUTED_VALUE"""),1.0)</f>
        <v>1</v>
      </c>
      <c r="K20" s="84">
        <f>IFERROR(__xludf.DUMMYFUNCTION("""COMPUTED_VALUE"""),1.0)</f>
        <v>1</v>
      </c>
      <c r="L20" s="81">
        <f>IFERROR(__xludf.DUMMYFUNCTION("""COMPUTED_VALUE"""),1.0)</f>
        <v>1</v>
      </c>
      <c r="M20" s="81">
        <f>IFERROR(__xludf.DUMMYFUNCTION("""COMPUTED_VALUE"""),1.0)</f>
        <v>1</v>
      </c>
      <c r="N20" s="82">
        <f>IFERROR(__xludf.DUMMYFUNCTION("""COMPUTED_VALUE"""),1.0)</f>
        <v>1</v>
      </c>
      <c r="O20" s="83" t="str">
        <f>IFERROR(__xludf.DUMMYFUNCTION("""COMPUTED_VALUE"""),"-")</f>
        <v>-</v>
      </c>
      <c r="P20" s="84">
        <f>IFERROR(__xludf.DUMMYFUNCTION("""COMPUTED_VALUE"""),5.0)</f>
        <v>5</v>
      </c>
      <c r="Q20" s="84" t="str">
        <f>IFERROR(__xludf.DUMMYFUNCTION("""COMPUTED_VALUE"""),"-")</f>
        <v>-</v>
      </c>
      <c r="R20" s="84" t="str">
        <f>IFERROR(__xludf.DUMMYFUNCTION("""COMPUTED_VALUE"""),"-")</f>
        <v>-</v>
      </c>
      <c r="S20" s="84" t="str">
        <f>IFERROR(__xludf.DUMMYFUNCTION("""COMPUTED_VALUE"""),"-")</f>
        <v>-</v>
      </c>
      <c r="T20" s="84">
        <f>IFERROR(__xludf.DUMMYFUNCTION("""COMPUTED_VALUE"""),5.0)</f>
        <v>5</v>
      </c>
      <c r="U20" s="84" t="str">
        <f>IFERROR(__xludf.DUMMYFUNCTION("""COMPUTED_VALUE"""),"-")</f>
        <v>-</v>
      </c>
      <c r="V20" s="85" t="str">
        <f>IFERROR(__xludf.DUMMYFUNCTION("""COMPUTED_VALUE"""),"-")</f>
        <v>-</v>
      </c>
      <c r="W20" s="101">
        <f>IFERROR(__xludf.DUMMYFUNCTION("""COMPUTED_VALUE"""),5.0)</f>
        <v>5</v>
      </c>
      <c r="X20" s="102">
        <f>IFERROR(__xludf.DUMMYFUNCTION("""COMPUTED_VALUE"""),5.0)</f>
        <v>5</v>
      </c>
      <c r="Y20" s="102">
        <f>IFERROR(__xludf.DUMMYFUNCTION("""COMPUTED_VALUE"""),5.0)</f>
        <v>5</v>
      </c>
      <c r="Z20" s="102">
        <f>IFERROR(__xludf.DUMMYFUNCTION("""COMPUTED_VALUE"""),5.0)</f>
        <v>5</v>
      </c>
      <c r="AA20" s="102">
        <f>IFERROR(__xludf.DUMMYFUNCTION("""COMPUTED_VALUE"""),5.0)</f>
        <v>5</v>
      </c>
      <c r="AB20" s="102">
        <f>IFERROR(__xludf.DUMMYFUNCTION("""COMPUTED_VALUE"""),5.0)</f>
        <v>5</v>
      </c>
      <c r="AC20" s="103">
        <f>IFERROR(__xludf.DUMMYFUNCTION("""COMPUTED_VALUE"""),5.0)</f>
        <v>5</v>
      </c>
      <c r="AD20" s="89">
        <f>IFERROR(__xludf.DUMMYFUNCTION("""COMPUTED_VALUE"""),5.0)</f>
        <v>5</v>
      </c>
      <c r="AE20" s="83">
        <f>IFERROR(__xludf.DUMMYFUNCTION("""COMPUTED_VALUE"""),6.0)</f>
        <v>6</v>
      </c>
      <c r="AF20" s="84">
        <f>IFERROR(__xludf.DUMMYFUNCTION("""COMPUTED_VALUE"""),6.0)</f>
        <v>6</v>
      </c>
      <c r="AG20" s="84">
        <f>IFERROR(__xludf.DUMMYFUNCTION("""COMPUTED_VALUE"""),3.75)</f>
        <v>3.75</v>
      </c>
      <c r="AH20" s="91">
        <f>IFERROR(__xludf.DUMMYFUNCTION("""COMPUTED_VALUE"""),1.0)</f>
        <v>1</v>
      </c>
      <c r="AI20" s="92">
        <f>IFERROR(__xludf.DUMMYFUNCTION("""COMPUTED_VALUE"""),0.0)</f>
        <v>0</v>
      </c>
      <c r="AJ20" s="93">
        <f>IFERROR(__xludf.DUMMYFUNCTION("""COMPUTED_VALUE"""),10.5)</f>
        <v>10.5</v>
      </c>
      <c r="AK20" s="94">
        <f>IFERROR(__xludf.DUMMYFUNCTION("""COMPUTED_VALUE"""),3.0)</f>
        <v>3</v>
      </c>
      <c r="AL20" s="95">
        <f>IFERROR(__xludf.DUMMYFUNCTION("""COMPUTED_VALUE"""),2.0)</f>
        <v>2</v>
      </c>
      <c r="AM20" s="96">
        <f>IFERROR(__xludf.DUMMYFUNCTION("""COMPUTED_VALUE"""),15.5)</f>
        <v>15.5</v>
      </c>
      <c r="AN20" s="97"/>
      <c r="AO20" s="97"/>
      <c r="AP20" s="100"/>
      <c r="AQ20" s="100"/>
      <c r="AR20" s="97"/>
      <c r="AS20" s="97"/>
      <c r="AT20" s="100"/>
      <c r="AU20" s="100"/>
      <c r="AV20" s="97"/>
      <c r="AW20" s="97"/>
    </row>
    <row r="21" ht="18.0" customHeight="1">
      <c r="A21" s="74">
        <f>IFERROR(__xludf.DUMMYFUNCTION("""COMPUTED_VALUE"""),13.0)</f>
        <v>13</v>
      </c>
      <c r="B21" s="75" t="str">
        <f>IFERROR(__xludf.DUMMYFUNCTION("""COMPUTED_VALUE"""),"1000058755")</f>
        <v>1000058755</v>
      </c>
      <c r="C21" s="76" t="str">
        <f>IFERROR(__xludf.DUMMYFUNCTION("""COMPUTED_VALUE"""),"Maliha Islam Promi")</f>
        <v>Maliha Islam Promi</v>
      </c>
      <c r="D21" s="77" t="b">
        <f>IFERROR(__xludf.DUMMYFUNCTION("""COMPUTED_VALUE"""),TRUE)</f>
        <v>1</v>
      </c>
      <c r="E21" s="78">
        <f>IFERROR(__xludf.DUMMYFUNCTION("""COMPUTED_VALUE"""),1.0)</f>
        <v>1</v>
      </c>
      <c r="F21" s="79" t="str">
        <f>IFERROR(__xludf.DUMMYFUNCTION("""COMPUTED_VALUE"""),"WARNING")</f>
        <v>WARNING</v>
      </c>
      <c r="G21" s="80">
        <f>IFERROR(__xludf.DUMMYFUNCTION("""COMPUTED_VALUE"""),1.0)</f>
        <v>1</v>
      </c>
      <c r="H21" s="74">
        <f>IFERROR(__xludf.DUMMYFUNCTION("""COMPUTED_VALUE"""),0.0)</f>
        <v>0</v>
      </c>
      <c r="I21" s="74">
        <f>IFERROR(__xludf.DUMMYFUNCTION("""COMPUTED_VALUE"""),1.0)</f>
        <v>1</v>
      </c>
      <c r="J21" s="81">
        <f>IFERROR(__xludf.DUMMYFUNCTION("""COMPUTED_VALUE"""),1.0)</f>
        <v>1</v>
      </c>
      <c r="K21" s="84">
        <f>IFERROR(__xludf.DUMMYFUNCTION("""COMPUTED_VALUE"""),1.0)</f>
        <v>1</v>
      </c>
      <c r="L21" s="81">
        <f>IFERROR(__xludf.DUMMYFUNCTION("""COMPUTED_VALUE"""),1.0)</f>
        <v>1</v>
      </c>
      <c r="M21" s="81">
        <f>IFERROR(__xludf.DUMMYFUNCTION("""COMPUTED_VALUE"""),1.0)</f>
        <v>1</v>
      </c>
      <c r="N21" s="82">
        <f>IFERROR(__xludf.DUMMYFUNCTION("""COMPUTED_VALUE"""),1.0)</f>
        <v>1</v>
      </c>
      <c r="O21" s="83" t="str">
        <f>IFERROR(__xludf.DUMMYFUNCTION("""COMPUTED_VALUE"""),"-")</f>
        <v>-</v>
      </c>
      <c r="P21" s="84" t="str">
        <f>IFERROR(__xludf.DUMMYFUNCTION("""COMPUTED_VALUE"""),"a")</f>
        <v>a</v>
      </c>
      <c r="Q21" s="84" t="str">
        <f>IFERROR(__xludf.DUMMYFUNCTION("""COMPUTED_VALUE"""),"-")</f>
        <v>-</v>
      </c>
      <c r="R21" s="84" t="str">
        <f>IFERROR(__xludf.DUMMYFUNCTION("""COMPUTED_VALUE"""),"-")</f>
        <v>-</v>
      </c>
      <c r="S21" s="84" t="str">
        <f>IFERROR(__xludf.DUMMYFUNCTION("""COMPUTED_VALUE"""),"-")</f>
        <v>-</v>
      </c>
      <c r="T21" s="84">
        <f>IFERROR(__xludf.DUMMYFUNCTION("""COMPUTED_VALUE"""),5.0)</f>
        <v>5</v>
      </c>
      <c r="U21" s="84" t="str">
        <f>IFERROR(__xludf.DUMMYFUNCTION("""COMPUTED_VALUE"""),"-")</f>
        <v>-</v>
      </c>
      <c r="V21" s="85" t="str">
        <f>IFERROR(__xludf.DUMMYFUNCTION("""COMPUTED_VALUE"""),"-")</f>
        <v>-</v>
      </c>
      <c r="W21" s="101">
        <f>IFERROR(__xludf.DUMMYFUNCTION("""COMPUTED_VALUE"""),4.0)</f>
        <v>4</v>
      </c>
      <c r="X21" s="102">
        <f>IFERROR(__xludf.DUMMYFUNCTION("""COMPUTED_VALUE"""),5.0)</f>
        <v>5</v>
      </c>
      <c r="Y21" s="102">
        <f>IFERROR(__xludf.DUMMYFUNCTION("""COMPUTED_VALUE"""),3.3333333333333335)</f>
        <v>3.333333333</v>
      </c>
      <c r="Z21" s="102">
        <f>IFERROR(__xludf.DUMMYFUNCTION("""COMPUTED_VALUE"""),5.0)</f>
        <v>5</v>
      </c>
      <c r="AA21" s="102">
        <f>IFERROR(__xludf.DUMMYFUNCTION("""COMPUTED_VALUE"""),5.0)</f>
        <v>5</v>
      </c>
      <c r="AB21" s="102">
        <f>IFERROR(__xludf.DUMMYFUNCTION("""COMPUTED_VALUE"""),5.0)</f>
        <v>5</v>
      </c>
      <c r="AC21" s="103">
        <f>IFERROR(__xludf.DUMMYFUNCTION("""COMPUTED_VALUE"""),5.0)</f>
        <v>5</v>
      </c>
      <c r="AD21" s="89">
        <f>IFERROR(__xludf.DUMMYFUNCTION("""COMPUTED_VALUE"""),5.0)</f>
        <v>5</v>
      </c>
      <c r="AE21" s="83">
        <f>IFERROR(__xludf.DUMMYFUNCTION("""COMPUTED_VALUE"""),4.5)</f>
        <v>4.5</v>
      </c>
      <c r="AF21" s="74">
        <f>IFERROR(__xludf.DUMMYFUNCTION("""COMPUTED_VALUE"""),7.0)</f>
        <v>7</v>
      </c>
      <c r="AG21" s="84">
        <f>IFERROR(__xludf.DUMMYFUNCTION("""COMPUTED_VALUE"""),9.0)</f>
        <v>9</v>
      </c>
      <c r="AH21" s="91">
        <f>IFERROR(__xludf.DUMMYFUNCTION("""COMPUTED_VALUE"""),1.0)</f>
        <v>1</v>
      </c>
      <c r="AI21" s="92">
        <f>IFERROR(__xludf.DUMMYFUNCTION("""COMPUTED_VALUE"""),0.0)</f>
        <v>0</v>
      </c>
      <c r="AJ21" s="93">
        <f>IFERROR(__xludf.DUMMYFUNCTION("""COMPUTED_VALUE"""),13.667)</f>
        <v>13.667</v>
      </c>
      <c r="AK21" s="94">
        <f>IFERROR(__xludf.DUMMYFUNCTION("""COMPUTED_VALUE"""),1.5)</f>
        <v>1.5</v>
      </c>
      <c r="AL21" s="95">
        <f>IFERROR(__xludf.DUMMYFUNCTION("""COMPUTED_VALUE"""),1.867)</f>
        <v>1.867</v>
      </c>
      <c r="AM21" s="96">
        <f>IFERROR(__xludf.DUMMYFUNCTION("""COMPUTED_VALUE"""),17.25)</f>
        <v>17.25</v>
      </c>
      <c r="AN21" s="97"/>
      <c r="AO21" s="97"/>
      <c r="AP21" s="100"/>
      <c r="AQ21" s="100"/>
      <c r="AR21" s="97"/>
      <c r="AS21" s="97"/>
      <c r="AT21" s="100"/>
      <c r="AU21" s="100"/>
      <c r="AV21" s="97"/>
      <c r="AW21" s="97"/>
    </row>
    <row r="22" ht="18.0" customHeight="1">
      <c r="A22" s="74">
        <f>IFERROR(__xludf.DUMMYFUNCTION("""COMPUTED_VALUE"""),14.0)</f>
        <v>14</v>
      </c>
      <c r="B22" s="75" t="str">
        <f>IFERROR(__xludf.DUMMYFUNCTION("""COMPUTED_VALUE"""),"1000058775")</f>
        <v>1000058775</v>
      </c>
      <c r="C22" s="76" t="str">
        <f>IFERROR(__xludf.DUMMYFUNCTION("""COMPUTED_VALUE"""),"Zayan Jasmir Hossain")</f>
        <v>Zayan Jasmir Hossain</v>
      </c>
      <c r="D22" s="77" t="b">
        <f>IFERROR(__xludf.DUMMYFUNCTION("""COMPUTED_VALUE"""),TRUE)</f>
        <v>1</v>
      </c>
      <c r="E22" s="78">
        <f>IFERROR(__xludf.DUMMYFUNCTION("""COMPUTED_VALUE"""),1.0)</f>
        <v>1</v>
      </c>
      <c r="F22" s="79" t="str">
        <f>IFERROR(__xludf.DUMMYFUNCTION("""COMPUTED_VALUE"""),"WARNING")</f>
        <v>WARNING</v>
      </c>
      <c r="G22" s="80">
        <f>IFERROR(__xludf.DUMMYFUNCTION("""COMPUTED_VALUE"""),1.0)</f>
        <v>1</v>
      </c>
      <c r="H22" s="74">
        <f>IFERROR(__xludf.DUMMYFUNCTION("""COMPUTED_VALUE"""),1.0)</f>
        <v>1</v>
      </c>
      <c r="I22" s="74">
        <f>IFERROR(__xludf.DUMMYFUNCTION("""COMPUTED_VALUE"""),1.0)</f>
        <v>1</v>
      </c>
      <c r="J22" s="81">
        <f>IFERROR(__xludf.DUMMYFUNCTION("""COMPUTED_VALUE"""),1.0)</f>
        <v>1</v>
      </c>
      <c r="K22" s="84">
        <f>IFERROR(__xludf.DUMMYFUNCTION("""COMPUTED_VALUE"""),1.0)</f>
        <v>1</v>
      </c>
      <c r="L22" s="81">
        <f>IFERROR(__xludf.DUMMYFUNCTION("""COMPUTED_VALUE"""),1.0)</f>
        <v>1</v>
      </c>
      <c r="M22" s="81">
        <f>IFERROR(__xludf.DUMMYFUNCTION("""COMPUTED_VALUE"""),1.0)</f>
        <v>1</v>
      </c>
      <c r="N22" s="82">
        <f>IFERROR(__xludf.DUMMYFUNCTION("""COMPUTED_VALUE"""),0.0)</f>
        <v>0</v>
      </c>
      <c r="O22" s="83" t="str">
        <f>IFERROR(__xludf.DUMMYFUNCTION("""COMPUTED_VALUE"""),"-")</f>
        <v>-</v>
      </c>
      <c r="P22" s="84">
        <f>IFERROR(__xludf.DUMMYFUNCTION("""COMPUTED_VALUE"""),2.0)</f>
        <v>2</v>
      </c>
      <c r="Q22" s="84" t="str">
        <f>IFERROR(__xludf.DUMMYFUNCTION("""COMPUTED_VALUE"""),"-")</f>
        <v>-</v>
      </c>
      <c r="R22" s="84" t="str">
        <f>IFERROR(__xludf.DUMMYFUNCTION("""COMPUTED_VALUE"""),"-")</f>
        <v>-</v>
      </c>
      <c r="S22" s="84" t="str">
        <f>IFERROR(__xludf.DUMMYFUNCTION("""COMPUTED_VALUE"""),"-")</f>
        <v>-</v>
      </c>
      <c r="T22" s="84">
        <f>IFERROR(__xludf.DUMMYFUNCTION("""COMPUTED_VALUE"""),4.0)</f>
        <v>4</v>
      </c>
      <c r="U22" s="84" t="str">
        <f>IFERROR(__xludf.DUMMYFUNCTION("""COMPUTED_VALUE"""),"-")</f>
        <v>-</v>
      </c>
      <c r="V22" s="85" t="str">
        <f>IFERROR(__xludf.DUMMYFUNCTION("""COMPUTED_VALUE"""),"a")</f>
        <v>a</v>
      </c>
      <c r="W22" s="101" t="str">
        <f>IFERROR(__xludf.DUMMYFUNCTION("""COMPUTED_VALUE"""),"N")</f>
        <v>N</v>
      </c>
      <c r="X22" s="102" t="str">
        <f>IFERROR(__xludf.DUMMYFUNCTION("""COMPUTED_VALUE"""),"N")</f>
        <v>N</v>
      </c>
      <c r="Y22" s="102" t="str">
        <f>IFERROR(__xludf.DUMMYFUNCTION("""COMPUTED_VALUE"""),"N")</f>
        <v>N</v>
      </c>
      <c r="Z22" s="102" t="str">
        <f>IFERROR(__xludf.DUMMYFUNCTION("""COMPUTED_VALUE"""),"N")</f>
        <v>N</v>
      </c>
      <c r="AA22" s="102" t="str">
        <f>IFERROR(__xludf.DUMMYFUNCTION("""COMPUTED_VALUE"""),"N")</f>
        <v>N</v>
      </c>
      <c r="AB22" s="102" t="str">
        <f>IFERROR(__xludf.DUMMYFUNCTION("""COMPUTED_VALUE"""),"N")</f>
        <v>N</v>
      </c>
      <c r="AC22" s="103" t="str">
        <f>IFERROR(__xludf.DUMMYFUNCTION("""COMPUTED_VALUE"""),"N")</f>
        <v>N</v>
      </c>
      <c r="AD22" s="89" t="str">
        <f>IFERROR(__xludf.DUMMYFUNCTION("""COMPUTED_VALUE"""),"N")</f>
        <v>N</v>
      </c>
      <c r="AE22" s="83">
        <f>IFERROR(__xludf.DUMMYFUNCTION("""COMPUTED_VALUE"""),3.75)</f>
        <v>3.75</v>
      </c>
      <c r="AF22" s="84">
        <f>IFERROR(__xludf.DUMMYFUNCTION("""COMPUTED_VALUE"""),5.5)</f>
        <v>5.5</v>
      </c>
      <c r="AG22" s="84">
        <f>IFERROR(__xludf.DUMMYFUNCTION("""COMPUTED_VALUE"""),9.75)</f>
        <v>9.75</v>
      </c>
      <c r="AH22" s="91">
        <f>IFERROR(__xludf.DUMMYFUNCTION("""COMPUTED_VALUE"""),1.0)</f>
        <v>1</v>
      </c>
      <c r="AI22" s="92">
        <f>IFERROR(__xludf.DUMMYFUNCTION("""COMPUTED_VALUE"""),0.0)</f>
        <v>0</v>
      </c>
      <c r="AJ22" s="93">
        <f>IFERROR(__xludf.DUMMYFUNCTION("""COMPUTED_VALUE"""),12.667)</f>
        <v>12.667</v>
      </c>
      <c r="AK22" s="94">
        <f>IFERROR(__xludf.DUMMYFUNCTION("""COMPUTED_VALUE"""),1.8)</f>
        <v>1.8</v>
      </c>
      <c r="AL22" s="95">
        <f>IFERROR(__xludf.DUMMYFUNCTION("""COMPUTED_VALUE"""),0.0)</f>
        <v>0</v>
      </c>
      <c r="AM22" s="96">
        <f>IFERROR(__xludf.DUMMYFUNCTION("""COMPUTED_VALUE"""),14.5)</f>
        <v>14.5</v>
      </c>
      <c r="AN22" s="97"/>
      <c r="AO22" s="97"/>
      <c r="AP22" s="100"/>
      <c r="AQ22" s="100"/>
      <c r="AR22" s="97"/>
      <c r="AS22" s="97"/>
      <c r="AT22" s="100"/>
      <c r="AU22" s="100"/>
      <c r="AV22" s="97"/>
      <c r="AW22" s="97"/>
    </row>
    <row r="23" ht="18.0" customHeight="1">
      <c r="A23" s="74">
        <f>IFERROR(__xludf.DUMMYFUNCTION("""COMPUTED_VALUE"""),15.0)</f>
        <v>15</v>
      </c>
      <c r="B23" s="75" t="str">
        <f>IFERROR(__xludf.DUMMYFUNCTION("""COMPUTED_VALUE"""),"1000058788")</f>
        <v>1000058788</v>
      </c>
      <c r="C23" s="76" t="str">
        <f>IFERROR(__xludf.DUMMYFUNCTION("""COMPUTED_VALUE"""),"Md. Fuad Hasib")</f>
        <v>Md. Fuad Hasib</v>
      </c>
      <c r="D23" s="77" t="b">
        <f>IFERROR(__xludf.DUMMYFUNCTION("""COMPUTED_VALUE"""),TRUE)</f>
        <v>1</v>
      </c>
      <c r="E23" s="78">
        <f>IFERROR(__xludf.DUMMYFUNCTION("""COMPUTED_VALUE"""),0.0)</f>
        <v>0</v>
      </c>
      <c r="F23" s="79" t="str">
        <f>IFERROR(__xludf.DUMMYFUNCTION("""COMPUTED_VALUE"""),"OKAY")</f>
        <v>OKAY</v>
      </c>
      <c r="G23" s="80">
        <f>IFERROR(__xludf.DUMMYFUNCTION("""COMPUTED_VALUE"""),1.0)</f>
        <v>1</v>
      </c>
      <c r="H23" s="74">
        <f>IFERROR(__xludf.DUMMYFUNCTION("""COMPUTED_VALUE"""),1.0)</f>
        <v>1</v>
      </c>
      <c r="I23" s="74">
        <f>IFERROR(__xludf.DUMMYFUNCTION("""COMPUTED_VALUE"""),1.0)</f>
        <v>1</v>
      </c>
      <c r="J23" s="81">
        <f>IFERROR(__xludf.DUMMYFUNCTION("""COMPUTED_VALUE"""),1.0)</f>
        <v>1</v>
      </c>
      <c r="K23" s="84">
        <f>IFERROR(__xludf.DUMMYFUNCTION("""COMPUTED_VALUE"""),1.0)</f>
        <v>1</v>
      </c>
      <c r="L23" s="81">
        <f>IFERROR(__xludf.DUMMYFUNCTION("""COMPUTED_VALUE"""),1.0)</f>
        <v>1</v>
      </c>
      <c r="M23" s="81">
        <f>IFERROR(__xludf.DUMMYFUNCTION("""COMPUTED_VALUE"""),1.0)</f>
        <v>1</v>
      </c>
      <c r="N23" s="82">
        <f>IFERROR(__xludf.DUMMYFUNCTION("""COMPUTED_VALUE"""),1.0)</f>
        <v>1</v>
      </c>
      <c r="O23" s="83" t="str">
        <f>IFERROR(__xludf.DUMMYFUNCTION("""COMPUTED_VALUE"""),"-")</f>
        <v>-</v>
      </c>
      <c r="P23" s="84">
        <f>IFERROR(__xludf.DUMMYFUNCTION("""COMPUTED_VALUE"""),5.0)</f>
        <v>5</v>
      </c>
      <c r="Q23" s="84" t="str">
        <f>IFERROR(__xludf.DUMMYFUNCTION("""COMPUTED_VALUE"""),"-")</f>
        <v>-</v>
      </c>
      <c r="R23" s="84" t="str">
        <f>IFERROR(__xludf.DUMMYFUNCTION("""COMPUTED_VALUE"""),"-")</f>
        <v>-</v>
      </c>
      <c r="S23" s="84" t="str">
        <f>IFERROR(__xludf.DUMMYFUNCTION("""COMPUTED_VALUE"""),"-")</f>
        <v>-</v>
      </c>
      <c r="T23" s="84">
        <f>IFERROR(__xludf.DUMMYFUNCTION("""COMPUTED_VALUE"""),5.0)</f>
        <v>5</v>
      </c>
      <c r="U23" s="84" t="str">
        <f>IFERROR(__xludf.DUMMYFUNCTION("""COMPUTED_VALUE"""),"-")</f>
        <v>-</v>
      </c>
      <c r="V23" s="85" t="str">
        <f>IFERROR(__xludf.DUMMYFUNCTION("""COMPUTED_VALUE"""),"-")</f>
        <v>-</v>
      </c>
      <c r="W23" s="101">
        <f>IFERROR(__xludf.DUMMYFUNCTION("""COMPUTED_VALUE"""),5.0)</f>
        <v>5</v>
      </c>
      <c r="X23" s="102">
        <f>IFERROR(__xludf.DUMMYFUNCTION("""COMPUTED_VALUE"""),5.0)</f>
        <v>5</v>
      </c>
      <c r="Y23" s="102">
        <f>IFERROR(__xludf.DUMMYFUNCTION("""COMPUTED_VALUE"""),5.0)</f>
        <v>5</v>
      </c>
      <c r="Z23" s="102">
        <f>IFERROR(__xludf.DUMMYFUNCTION("""COMPUTED_VALUE"""),5.0)</f>
        <v>5</v>
      </c>
      <c r="AA23" s="102">
        <f>IFERROR(__xludf.DUMMYFUNCTION("""COMPUTED_VALUE"""),5.0)</f>
        <v>5</v>
      </c>
      <c r="AB23" s="102">
        <f>IFERROR(__xludf.DUMMYFUNCTION("""COMPUTED_VALUE"""),5.0)</f>
        <v>5</v>
      </c>
      <c r="AC23" s="103">
        <f>IFERROR(__xludf.DUMMYFUNCTION("""COMPUTED_VALUE"""),5.0)</f>
        <v>5</v>
      </c>
      <c r="AD23" s="89">
        <f>IFERROR(__xludf.DUMMYFUNCTION("""COMPUTED_VALUE"""),5.0)</f>
        <v>5</v>
      </c>
      <c r="AE23" s="83">
        <f>IFERROR(__xludf.DUMMYFUNCTION("""COMPUTED_VALUE"""),7.0)</f>
        <v>7</v>
      </c>
      <c r="AF23" s="84">
        <f>IFERROR(__xludf.DUMMYFUNCTION("""COMPUTED_VALUE"""),7.5)</f>
        <v>7.5</v>
      </c>
      <c r="AG23" s="84">
        <f>IFERROR(__xludf.DUMMYFUNCTION("""COMPUTED_VALUE"""),10.0)</f>
        <v>10</v>
      </c>
      <c r="AH23" s="91">
        <f>IFERROR(__xludf.DUMMYFUNCTION("""COMPUTED_VALUE"""),1.0)</f>
        <v>1</v>
      </c>
      <c r="AI23" s="92">
        <f>IFERROR(__xludf.DUMMYFUNCTION("""COMPUTED_VALUE"""),0.0)</f>
        <v>0</v>
      </c>
      <c r="AJ23" s="93">
        <f>IFERROR(__xludf.DUMMYFUNCTION("""COMPUTED_VALUE"""),16.334)</f>
        <v>16.334</v>
      </c>
      <c r="AK23" s="94">
        <f>IFERROR(__xludf.DUMMYFUNCTION("""COMPUTED_VALUE"""),3.0)</f>
        <v>3</v>
      </c>
      <c r="AL23" s="95">
        <f>IFERROR(__xludf.DUMMYFUNCTION("""COMPUTED_VALUE"""),2.0)</f>
        <v>2</v>
      </c>
      <c r="AM23" s="96">
        <f>IFERROR(__xludf.DUMMYFUNCTION("""COMPUTED_VALUE"""),21.5)</f>
        <v>21.5</v>
      </c>
      <c r="AN23" s="97"/>
      <c r="AO23" s="97"/>
      <c r="AP23" s="100"/>
      <c r="AQ23" s="100"/>
      <c r="AR23" s="97"/>
      <c r="AS23" s="97"/>
      <c r="AT23" s="100"/>
      <c r="AU23" s="100"/>
      <c r="AV23" s="97"/>
      <c r="AW23" s="97"/>
    </row>
    <row r="24" ht="18.0" customHeight="1">
      <c r="A24" s="74">
        <f>IFERROR(__xludf.DUMMYFUNCTION("""COMPUTED_VALUE"""),16.0)</f>
        <v>16</v>
      </c>
      <c r="B24" s="75" t="str">
        <f>IFERROR(__xludf.DUMMYFUNCTION("""COMPUTED_VALUE"""),"1000058808")</f>
        <v>1000058808</v>
      </c>
      <c r="C24" s="76" t="str">
        <f>IFERROR(__xludf.DUMMYFUNCTION("""COMPUTED_VALUE"""),"Zafirah Hasan")</f>
        <v>Zafirah Hasan</v>
      </c>
      <c r="D24" s="77" t="b">
        <f>IFERROR(__xludf.DUMMYFUNCTION("""COMPUTED_VALUE"""),TRUE)</f>
        <v>1</v>
      </c>
      <c r="E24" s="78">
        <f>IFERROR(__xludf.DUMMYFUNCTION("""COMPUTED_VALUE"""),0.0)</f>
        <v>0</v>
      </c>
      <c r="F24" s="79" t="str">
        <f>IFERROR(__xludf.DUMMYFUNCTION("""COMPUTED_VALUE"""),"OKAY")</f>
        <v>OKAY</v>
      </c>
      <c r="G24" s="80">
        <f>IFERROR(__xludf.DUMMYFUNCTION("""COMPUTED_VALUE"""),1.0)</f>
        <v>1</v>
      </c>
      <c r="H24" s="74">
        <f>IFERROR(__xludf.DUMMYFUNCTION("""COMPUTED_VALUE"""),1.0)</f>
        <v>1</v>
      </c>
      <c r="I24" s="74">
        <f>IFERROR(__xludf.DUMMYFUNCTION("""COMPUTED_VALUE"""),1.0)</f>
        <v>1</v>
      </c>
      <c r="J24" s="81">
        <f>IFERROR(__xludf.DUMMYFUNCTION("""COMPUTED_VALUE"""),1.0)</f>
        <v>1</v>
      </c>
      <c r="K24" s="84">
        <f>IFERROR(__xludf.DUMMYFUNCTION("""COMPUTED_VALUE"""),1.0)</f>
        <v>1</v>
      </c>
      <c r="L24" s="81">
        <f>IFERROR(__xludf.DUMMYFUNCTION("""COMPUTED_VALUE"""),1.0)</f>
        <v>1</v>
      </c>
      <c r="M24" s="81">
        <f>IFERROR(__xludf.DUMMYFUNCTION("""COMPUTED_VALUE"""),1.0)</f>
        <v>1</v>
      </c>
      <c r="N24" s="82">
        <f>IFERROR(__xludf.DUMMYFUNCTION("""COMPUTED_VALUE"""),1.0)</f>
        <v>1</v>
      </c>
      <c r="O24" s="83" t="str">
        <f>IFERROR(__xludf.DUMMYFUNCTION("""COMPUTED_VALUE"""),"-")</f>
        <v>-</v>
      </c>
      <c r="P24" s="84">
        <f>IFERROR(__xludf.DUMMYFUNCTION("""COMPUTED_VALUE"""),5.0)</f>
        <v>5</v>
      </c>
      <c r="Q24" s="84" t="str">
        <f>IFERROR(__xludf.DUMMYFUNCTION("""COMPUTED_VALUE"""),"-")</f>
        <v>-</v>
      </c>
      <c r="R24" s="84" t="str">
        <f>IFERROR(__xludf.DUMMYFUNCTION("""COMPUTED_VALUE"""),"-")</f>
        <v>-</v>
      </c>
      <c r="S24" s="84" t="str">
        <f>IFERROR(__xludf.DUMMYFUNCTION("""COMPUTED_VALUE"""),"-")</f>
        <v>-</v>
      </c>
      <c r="T24" s="84">
        <f>IFERROR(__xludf.DUMMYFUNCTION("""COMPUTED_VALUE"""),5.0)</f>
        <v>5</v>
      </c>
      <c r="U24" s="84" t="str">
        <f>IFERROR(__xludf.DUMMYFUNCTION("""COMPUTED_VALUE"""),"-")</f>
        <v>-</v>
      </c>
      <c r="V24" s="85" t="str">
        <f>IFERROR(__xludf.DUMMYFUNCTION("""COMPUTED_VALUE"""),"-")</f>
        <v>-</v>
      </c>
      <c r="W24" s="101">
        <f>IFERROR(__xludf.DUMMYFUNCTION("""COMPUTED_VALUE"""),5.0)</f>
        <v>5</v>
      </c>
      <c r="X24" s="102">
        <f>IFERROR(__xludf.DUMMYFUNCTION("""COMPUTED_VALUE"""),5.0)</f>
        <v>5</v>
      </c>
      <c r="Y24" s="102">
        <f>IFERROR(__xludf.DUMMYFUNCTION("""COMPUTED_VALUE"""),5.0)</f>
        <v>5</v>
      </c>
      <c r="Z24" s="102">
        <f>IFERROR(__xludf.DUMMYFUNCTION("""COMPUTED_VALUE"""),5.0)</f>
        <v>5</v>
      </c>
      <c r="AA24" s="102">
        <f>IFERROR(__xludf.DUMMYFUNCTION("""COMPUTED_VALUE"""),4.642857142857143)</f>
        <v>4.642857143</v>
      </c>
      <c r="AB24" s="102">
        <f>IFERROR(__xludf.DUMMYFUNCTION("""COMPUTED_VALUE"""),5.0)</f>
        <v>5</v>
      </c>
      <c r="AC24" s="103">
        <f>IFERROR(__xludf.DUMMYFUNCTION("""COMPUTED_VALUE"""),5.0)</f>
        <v>5</v>
      </c>
      <c r="AD24" s="89">
        <f>IFERROR(__xludf.DUMMYFUNCTION("""COMPUTED_VALUE"""),5.0)</f>
        <v>5</v>
      </c>
      <c r="AE24" s="83">
        <f>IFERROR(__xludf.DUMMYFUNCTION("""COMPUTED_VALUE"""),5.25)</f>
        <v>5.25</v>
      </c>
      <c r="AF24" s="84">
        <f>IFERROR(__xludf.DUMMYFUNCTION("""COMPUTED_VALUE"""),7.5)</f>
        <v>7.5</v>
      </c>
      <c r="AG24" s="84">
        <f>IFERROR(__xludf.DUMMYFUNCTION("""COMPUTED_VALUE"""),6.25)</f>
        <v>6.25</v>
      </c>
      <c r="AH24" s="91">
        <f>IFERROR(__xludf.DUMMYFUNCTION("""COMPUTED_VALUE"""),1.0)</f>
        <v>1</v>
      </c>
      <c r="AI24" s="92">
        <f>IFERROR(__xludf.DUMMYFUNCTION("""COMPUTED_VALUE"""),0.0)</f>
        <v>0</v>
      </c>
      <c r="AJ24" s="93">
        <f>IFERROR(__xludf.DUMMYFUNCTION("""COMPUTED_VALUE"""),12.667)</f>
        <v>12.667</v>
      </c>
      <c r="AK24" s="94">
        <f>IFERROR(__xludf.DUMMYFUNCTION("""COMPUTED_VALUE"""),3.0)</f>
        <v>3</v>
      </c>
      <c r="AL24" s="95">
        <f>IFERROR(__xludf.DUMMYFUNCTION("""COMPUTED_VALUE"""),1.983)</f>
        <v>1.983</v>
      </c>
      <c r="AM24" s="96">
        <f>IFERROR(__xludf.DUMMYFUNCTION("""COMPUTED_VALUE"""),17.75)</f>
        <v>17.75</v>
      </c>
      <c r="AN24" s="97"/>
      <c r="AO24" s="97"/>
      <c r="AP24" s="100"/>
      <c r="AQ24" s="100"/>
      <c r="AR24" s="97"/>
      <c r="AS24" s="97"/>
      <c r="AT24" s="100"/>
      <c r="AU24" s="100"/>
      <c r="AV24" s="97"/>
      <c r="AW24" s="97"/>
    </row>
    <row r="25" ht="18.0" customHeight="1">
      <c r="A25" s="74">
        <f>IFERROR(__xludf.DUMMYFUNCTION("""COMPUTED_VALUE"""),17.0)</f>
        <v>17</v>
      </c>
      <c r="B25" s="75" t="str">
        <f>IFERROR(__xludf.DUMMYFUNCTION("""COMPUTED_VALUE"""),"1000058826")</f>
        <v>1000058826</v>
      </c>
      <c r="C25" s="76" t="str">
        <f>IFERROR(__xludf.DUMMYFUNCTION("""COMPUTED_VALUE"""),"Ahanaf Ibn Kausar")</f>
        <v>Ahanaf Ibn Kausar</v>
      </c>
      <c r="D25" s="77" t="b">
        <f>IFERROR(__xludf.DUMMYFUNCTION("""COMPUTED_VALUE"""),TRUE)</f>
        <v>1</v>
      </c>
      <c r="E25" s="78">
        <f>IFERROR(__xludf.DUMMYFUNCTION("""COMPUTED_VALUE"""),0.0)</f>
        <v>0</v>
      </c>
      <c r="F25" s="79" t="str">
        <f>IFERROR(__xludf.DUMMYFUNCTION("""COMPUTED_VALUE"""),"OKAY")</f>
        <v>OKAY</v>
      </c>
      <c r="G25" s="80">
        <f>IFERROR(__xludf.DUMMYFUNCTION("""COMPUTED_VALUE"""),1.0)</f>
        <v>1</v>
      </c>
      <c r="H25" s="74">
        <f>IFERROR(__xludf.DUMMYFUNCTION("""COMPUTED_VALUE"""),1.0)</f>
        <v>1</v>
      </c>
      <c r="I25" s="74">
        <f>IFERROR(__xludf.DUMMYFUNCTION("""COMPUTED_VALUE"""),1.0)</f>
        <v>1</v>
      </c>
      <c r="J25" s="81">
        <f>IFERROR(__xludf.DUMMYFUNCTION("""COMPUTED_VALUE"""),1.0)</f>
        <v>1</v>
      </c>
      <c r="K25" s="84">
        <f>IFERROR(__xludf.DUMMYFUNCTION("""COMPUTED_VALUE"""),1.0)</f>
        <v>1</v>
      </c>
      <c r="L25" s="81">
        <f>IFERROR(__xludf.DUMMYFUNCTION("""COMPUTED_VALUE"""),1.0)</f>
        <v>1</v>
      </c>
      <c r="M25" s="81">
        <f>IFERROR(__xludf.DUMMYFUNCTION("""COMPUTED_VALUE"""),1.0)</f>
        <v>1</v>
      </c>
      <c r="N25" s="82">
        <f>IFERROR(__xludf.DUMMYFUNCTION("""COMPUTED_VALUE"""),1.0)</f>
        <v>1</v>
      </c>
      <c r="O25" s="83" t="str">
        <f>IFERROR(__xludf.DUMMYFUNCTION("""COMPUTED_VALUE"""),"-")</f>
        <v>-</v>
      </c>
      <c r="P25" s="84">
        <f>IFERROR(__xludf.DUMMYFUNCTION("""COMPUTED_VALUE"""),5.0)</f>
        <v>5</v>
      </c>
      <c r="Q25" s="84" t="str">
        <f>IFERROR(__xludf.DUMMYFUNCTION("""COMPUTED_VALUE"""),"-")</f>
        <v>-</v>
      </c>
      <c r="R25" s="84" t="str">
        <f>IFERROR(__xludf.DUMMYFUNCTION("""COMPUTED_VALUE"""),"-")</f>
        <v>-</v>
      </c>
      <c r="S25" s="84" t="str">
        <f>IFERROR(__xludf.DUMMYFUNCTION("""COMPUTED_VALUE"""),"-")</f>
        <v>-</v>
      </c>
      <c r="T25" s="84">
        <f>IFERROR(__xludf.DUMMYFUNCTION("""COMPUTED_VALUE"""),5.0)</f>
        <v>5</v>
      </c>
      <c r="U25" s="84" t="str">
        <f>IFERROR(__xludf.DUMMYFUNCTION("""COMPUTED_VALUE"""),"-")</f>
        <v>-</v>
      </c>
      <c r="V25" s="85" t="str">
        <f>IFERROR(__xludf.DUMMYFUNCTION("""COMPUTED_VALUE"""),"-")</f>
        <v>-</v>
      </c>
      <c r="W25" s="101">
        <f>IFERROR(__xludf.DUMMYFUNCTION("""COMPUTED_VALUE"""),4.0)</f>
        <v>4</v>
      </c>
      <c r="X25" s="102">
        <f>IFERROR(__xludf.DUMMYFUNCTION("""COMPUTED_VALUE"""),5.0)</f>
        <v>5</v>
      </c>
      <c r="Y25" s="102">
        <f>IFERROR(__xludf.DUMMYFUNCTION("""COMPUTED_VALUE"""),5.0)</f>
        <v>5</v>
      </c>
      <c r="Z25" s="102">
        <f>IFERROR(__xludf.DUMMYFUNCTION("""COMPUTED_VALUE"""),5.0)</f>
        <v>5</v>
      </c>
      <c r="AA25" s="102">
        <f>IFERROR(__xludf.DUMMYFUNCTION("""COMPUTED_VALUE"""),5.0)</f>
        <v>5</v>
      </c>
      <c r="AB25" s="102">
        <f>IFERROR(__xludf.DUMMYFUNCTION("""COMPUTED_VALUE"""),5.0)</f>
        <v>5</v>
      </c>
      <c r="AC25" s="103">
        <f>IFERROR(__xludf.DUMMYFUNCTION("""COMPUTED_VALUE"""),5.0)</f>
        <v>5</v>
      </c>
      <c r="AD25" s="89">
        <f>IFERROR(__xludf.DUMMYFUNCTION("""COMPUTED_VALUE"""),5.0)</f>
        <v>5</v>
      </c>
      <c r="AE25" s="83">
        <f>IFERROR(__xludf.DUMMYFUNCTION("""COMPUTED_VALUE"""),6.25)</f>
        <v>6.25</v>
      </c>
      <c r="AF25" s="84">
        <f>IFERROR(__xludf.DUMMYFUNCTION("""COMPUTED_VALUE"""),8.5)</f>
        <v>8.5</v>
      </c>
      <c r="AG25" s="84">
        <f>IFERROR(__xludf.DUMMYFUNCTION("""COMPUTED_VALUE"""),8.25)</f>
        <v>8.25</v>
      </c>
      <c r="AH25" s="91">
        <f>IFERROR(__xludf.DUMMYFUNCTION("""COMPUTED_VALUE"""),1.0)</f>
        <v>1</v>
      </c>
      <c r="AI25" s="92">
        <f>IFERROR(__xludf.DUMMYFUNCTION("""COMPUTED_VALUE"""),0.0)</f>
        <v>0</v>
      </c>
      <c r="AJ25" s="93">
        <f>IFERROR(__xludf.DUMMYFUNCTION("""COMPUTED_VALUE"""),15.334)</f>
        <v>15.334</v>
      </c>
      <c r="AK25" s="94">
        <f>IFERROR(__xludf.DUMMYFUNCTION("""COMPUTED_VALUE"""),3.0)</f>
        <v>3</v>
      </c>
      <c r="AL25" s="95">
        <f>IFERROR(__xludf.DUMMYFUNCTION("""COMPUTED_VALUE"""),1.95)</f>
        <v>1.95</v>
      </c>
      <c r="AM25" s="96">
        <f>IFERROR(__xludf.DUMMYFUNCTION("""COMPUTED_VALUE"""),20.5)</f>
        <v>20.5</v>
      </c>
      <c r="AN25" s="97"/>
      <c r="AO25" s="97"/>
      <c r="AP25" s="100"/>
      <c r="AQ25" s="100"/>
      <c r="AR25" s="97"/>
      <c r="AS25" s="97"/>
      <c r="AT25" s="100"/>
      <c r="AU25" s="100"/>
      <c r="AV25" s="97"/>
      <c r="AW25" s="97"/>
    </row>
    <row r="26" ht="18.0" customHeight="1">
      <c r="A26" s="74">
        <f>IFERROR(__xludf.DUMMYFUNCTION("""COMPUTED_VALUE"""),18.0)</f>
        <v>18</v>
      </c>
      <c r="B26" s="75" t="str">
        <f>IFERROR(__xludf.DUMMYFUNCTION("""COMPUTED_VALUE"""),"1000058845")</f>
        <v>1000058845</v>
      </c>
      <c r="C26" s="76" t="str">
        <f>IFERROR(__xludf.DUMMYFUNCTION("""COMPUTED_VALUE"""),"Masrour Muhammad")</f>
        <v>Masrour Muhammad</v>
      </c>
      <c r="D26" s="77" t="b">
        <f>IFERROR(__xludf.DUMMYFUNCTION("""COMPUTED_VALUE"""),TRUE)</f>
        <v>1</v>
      </c>
      <c r="E26" s="78">
        <f>IFERROR(__xludf.DUMMYFUNCTION("""COMPUTED_VALUE"""),1.0)</f>
        <v>1</v>
      </c>
      <c r="F26" s="79" t="str">
        <f>IFERROR(__xludf.DUMMYFUNCTION("""COMPUTED_VALUE"""),"WARNING")</f>
        <v>WARNING</v>
      </c>
      <c r="G26" s="80">
        <f>IFERROR(__xludf.DUMMYFUNCTION("""COMPUTED_VALUE"""),1.0)</f>
        <v>1</v>
      </c>
      <c r="H26" s="74">
        <f>IFERROR(__xludf.DUMMYFUNCTION("""COMPUTED_VALUE"""),1.0)</f>
        <v>1</v>
      </c>
      <c r="I26" s="74">
        <f>IFERROR(__xludf.DUMMYFUNCTION("""COMPUTED_VALUE"""),1.0)</f>
        <v>1</v>
      </c>
      <c r="J26" s="81">
        <f>IFERROR(__xludf.DUMMYFUNCTION("""COMPUTED_VALUE"""),1.0)</f>
        <v>1</v>
      </c>
      <c r="K26" s="74">
        <f>IFERROR(__xludf.DUMMYFUNCTION("""COMPUTED_VALUE"""),1.0)</f>
        <v>1</v>
      </c>
      <c r="L26" s="81">
        <f>IFERROR(__xludf.DUMMYFUNCTION("""COMPUTED_VALUE"""),1.0)</f>
        <v>1</v>
      </c>
      <c r="M26" s="81">
        <f>IFERROR(__xludf.DUMMYFUNCTION("""COMPUTED_VALUE"""),1.0)</f>
        <v>1</v>
      </c>
      <c r="N26" s="82">
        <f>IFERROR(__xludf.DUMMYFUNCTION("""COMPUTED_VALUE"""),0.0)</f>
        <v>0</v>
      </c>
      <c r="O26" s="83" t="str">
        <f>IFERROR(__xludf.DUMMYFUNCTION("""COMPUTED_VALUE"""),"-")</f>
        <v>-</v>
      </c>
      <c r="P26" s="84">
        <f>IFERROR(__xludf.DUMMYFUNCTION("""COMPUTED_VALUE"""),5.0)</f>
        <v>5</v>
      </c>
      <c r="Q26" s="84" t="str">
        <f>IFERROR(__xludf.DUMMYFUNCTION("""COMPUTED_VALUE"""),"-")</f>
        <v>-</v>
      </c>
      <c r="R26" s="84" t="str">
        <f>IFERROR(__xludf.DUMMYFUNCTION("""COMPUTED_VALUE"""),"-")</f>
        <v>-</v>
      </c>
      <c r="S26" s="84" t="str">
        <f>IFERROR(__xludf.DUMMYFUNCTION("""COMPUTED_VALUE"""),"-")</f>
        <v>-</v>
      </c>
      <c r="T26" s="84">
        <f>IFERROR(__xludf.DUMMYFUNCTION("""COMPUTED_VALUE"""),5.0)</f>
        <v>5</v>
      </c>
      <c r="U26" s="84" t="str">
        <f>IFERROR(__xludf.DUMMYFUNCTION("""COMPUTED_VALUE"""),"-")</f>
        <v>-</v>
      </c>
      <c r="V26" s="85" t="str">
        <f>IFERROR(__xludf.DUMMYFUNCTION("""COMPUTED_VALUE"""),"a")</f>
        <v>a</v>
      </c>
      <c r="W26" s="101">
        <f>IFERROR(__xludf.DUMMYFUNCTION("""COMPUTED_VALUE"""),5.0)</f>
        <v>5</v>
      </c>
      <c r="X26" s="102">
        <f>IFERROR(__xludf.DUMMYFUNCTION("""COMPUTED_VALUE"""),5.0)</f>
        <v>5</v>
      </c>
      <c r="Y26" s="102">
        <f>IFERROR(__xludf.DUMMYFUNCTION("""COMPUTED_VALUE"""),5.0)</f>
        <v>5</v>
      </c>
      <c r="Z26" s="102">
        <f>IFERROR(__xludf.DUMMYFUNCTION("""COMPUTED_VALUE"""),5.0)</f>
        <v>5</v>
      </c>
      <c r="AA26" s="102">
        <f>IFERROR(__xludf.DUMMYFUNCTION("""COMPUTED_VALUE"""),5.0)</f>
        <v>5</v>
      </c>
      <c r="AB26" s="102">
        <f>IFERROR(__xludf.DUMMYFUNCTION("""COMPUTED_VALUE"""),5.0)</f>
        <v>5</v>
      </c>
      <c r="AC26" s="103">
        <f>IFERROR(__xludf.DUMMYFUNCTION("""COMPUTED_VALUE"""),5.0)</f>
        <v>5</v>
      </c>
      <c r="AD26" s="89">
        <f>IFERROR(__xludf.DUMMYFUNCTION("""COMPUTED_VALUE"""),5.0)</f>
        <v>5</v>
      </c>
      <c r="AE26" s="83">
        <f>IFERROR(__xludf.DUMMYFUNCTION("""COMPUTED_VALUE"""),9.25)</f>
        <v>9.25</v>
      </c>
      <c r="AF26" s="84">
        <f>IFERROR(__xludf.DUMMYFUNCTION("""COMPUTED_VALUE"""),6.5)</f>
        <v>6.5</v>
      </c>
      <c r="AG26" s="84">
        <f>IFERROR(__xludf.DUMMYFUNCTION("""COMPUTED_VALUE"""),9.25)</f>
        <v>9.25</v>
      </c>
      <c r="AH26" s="91">
        <f>IFERROR(__xludf.DUMMYFUNCTION("""COMPUTED_VALUE"""),10.0)</f>
        <v>10</v>
      </c>
      <c r="AI26" s="92">
        <f>IFERROR(__xludf.DUMMYFUNCTION("""COMPUTED_VALUE"""),0.0)</f>
        <v>0</v>
      </c>
      <c r="AJ26" s="93">
        <f>IFERROR(__xludf.DUMMYFUNCTION("""COMPUTED_VALUE"""),19.0)</f>
        <v>19</v>
      </c>
      <c r="AK26" s="94">
        <f>IFERROR(__xludf.DUMMYFUNCTION("""COMPUTED_VALUE"""),3.0)</f>
        <v>3</v>
      </c>
      <c r="AL26" s="95">
        <f>IFERROR(__xludf.DUMMYFUNCTION("""COMPUTED_VALUE"""),2.0)</f>
        <v>2</v>
      </c>
      <c r="AM26" s="96">
        <f>IFERROR(__xludf.DUMMYFUNCTION("""COMPUTED_VALUE"""),24.0)</f>
        <v>24</v>
      </c>
      <c r="AN26" s="97"/>
      <c r="AO26" s="97"/>
      <c r="AP26" s="100"/>
      <c r="AQ26" s="100"/>
      <c r="AR26" s="97"/>
      <c r="AS26" s="97"/>
      <c r="AT26" s="100"/>
      <c r="AU26" s="100"/>
      <c r="AV26" s="97"/>
      <c r="AW26" s="97"/>
    </row>
    <row r="27" ht="18.0" customHeight="1">
      <c r="A27" s="74">
        <f>IFERROR(__xludf.DUMMYFUNCTION("""COMPUTED_VALUE"""),19.0)</f>
        <v>19</v>
      </c>
      <c r="B27" s="75" t="str">
        <f>IFERROR(__xludf.DUMMYFUNCTION("""COMPUTED_VALUE"""),"22299424")</f>
        <v>22299424</v>
      </c>
      <c r="C27" s="76" t="str">
        <f>IFERROR(__xludf.DUMMYFUNCTION("""COMPUTED_VALUE"""),"Md Tasnim Reduan Rana")</f>
        <v>Md Tasnim Reduan Rana</v>
      </c>
      <c r="D27" s="77" t="b">
        <f>IFERROR(__xludf.DUMMYFUNCTION("""COMPUTED_VALUE"""),TRUE)</f>
        <v>1</v>
      </c>
      <c r="E27" s="78">
        <f>IFERROR(__xludf.DUMMYFUNCTION("""COMPUTED_VALUE"""),1.0)</f>
        <v>1</v>
      </c>
      <c r="F27" s="79" t="str">
        <f>IFERROR(__xludf.DUMMYFUNCTION("""COMPUTED_VALUE"""),"WARNING")</f>
        <v>WARNING</v>
      </c>
      <c r="G27" s="80">
        <f>IFERROR(__xludf.DUMMYFUNCTION("""COMPUTED_VALUE"""),1.0)</f>
        <v>1</v>
      </c>
      <c r="H27" s="74">
        <f>IFERROR(__xludf.DUMMYFUNCTION("""COMPUTED_VALUE"""),1.0)</f>
        <v>1</v>
      </c>
      <c r="I27" s="74">
        <f>IFERROR(__xludf.DUMMYFUNCTION("""COMPUTED_VALUE"""),1.0)</f>
        <v>1</v>
      </c>
      <c r="J27" s="81">
        <f>IFERROR(__xludf.DUMMYFUNCTION("""COMPUTED_VALUE"""),0.0)</f>
        <v>0</v>
      </c>
      <c r="K27" s="84" t="str">
        <f>IFERROR(__xludf.DUMMYFUNCTION("""COMPUTED_VALUE"""),"S")</f>
        <v>S</v>
      </c>
      <c r="L27" s="81">
        <f>IFERROR(__xludf.DUMMYFUNCTION("""COMPUTED_VALUE"""),1.0)</f>
        <v>1</v>
      </c>
      <c r="M27" s="81">
        <f>IFERROR(__xludf.DUMMYFUNCTION("""COMPUTED_VALUE"""),1.0)</f>
        <v>1</v>
      </c>
      <c r="N27" s="82">
        <f>IFERROR(__xludf.DUMMYFUNCTION("""COMPUTED_VALUE"""),1.0)</f>
        <v>1</v>
      </c>
      <c r="O27" s="83" t="str">
        <f>IFERROR(__xludf.DUMMYFUNCTION("""COMPUTED_VALUE"""),"-")</f>
        <v>-</v>
      </c>
      <c r="P27" s="84">
        <f>IFERROR(__xludf.DUMMYFUNCTION("""COMPUTED_VALUE"""),3.0)</f>
        <v>3</v>
      </c>
      <c r="Q27" s="84" t="str">
        <f>IFERROR(__xludf.DUMMYFUNCTION("""COMPUTED_VALUE"""),"-")</f>
        <v>-</v>
      </c>
      <c r="R27" s="84" t="str">
        <f>IFERROR(__xludf.DUMMYFUNCTION("""COMPUTED_VALUE"""),"a")</f>
        <v>a</v>
      </c>
      <c r="S27" s="84" t="str">
        <f>IFERROR(__xludf.DUMMYFUNCTION("""COMPUTED_VALUE"""),"s")</f>
        <v>s</v>
      </c>
      <c r="T27" s="84">
        <f>IFERROR(__xludf.DUMMYFUNCTION("""COMPUTED_VALUE"""),4.0)</f>
        <v>4</v>
      </c>
      <c r="U27" s="84" t="str">
        <f>IFERROR(__xludf.DUMMYFUNCTION("""COMPUTED_VALUE"""),"-")</f>
        <v>-</v>
      </c>
      <c r="V27" s="85" t="str">
        <f>IFERROR(__xludf.DUMMYFUNCTION("""COMPUTED_VALUE"""),"-")</f>
        <v>-</v>
      </c>
      <c r="W27" s="101" t="str">
        <f>IFERROR(__xludf.DUMMYFUNCTION("""COMPUTED_VALUE"""),"N")</f>
        <v>N</v>
      </c>
      <c r="X27" s="102">
        <f>IFERROR(__xludf.DUMMYFUNCTION("""COMPUTED_VALUE"""),1.6666666666666667)</f>
        <v>1.666666667</v>
      </c>
      <c r="Y27" s="102" t="str">
        <f>IFERROR(__xludf.DUMMYFUNCTION("""COMPUTED_VALUE"""),"N")</f>
        <v>N</v>
      </c>
      <c r="Z27" s="102" t="str">
        <f>IFERROR(__xludf.DUMMYFUNCTION("""COMPUTED_VALUE"""),"N")</f>
        <v>N</v>
      </c>
      <c r="AA27" s="102" t="str">
        <f>IFERROR(__xludf.DUMMYFUNCTION("""COMPUTED_VALUE"""),"N")</f>
        <v>N</v>
      </c>
      <c r="AB27" s="102" t="str">
        <f>IFERROR(__xludf.DUMMYFUNCTION("""COMPUTED_VALUE"""),"N")</f>
        <v>N</v>
      </c>
      <c r="AC27" s="103" t="str">
        <f>IFERROR(__xludf.DUMMYFUNCTION("""COMPUTED_VALUE"""),"N")</f>
        <v>N</v>
      </c>
      <c r="AD27" s="89" t="str">
        <f>IFERROR(__xludf.DUMMYFUNCTION("""COMPUTED_VALUE"""),"N")</f>
        <v>N</v>
      </c>
      <c r="AE27" s="83">
        <f>IFERROR(__xludf.DUMMYFUNCTION("""COMPUTED_VALUE"""),7.0)</f>
        <v>7</v>
      </c>
      <c r="AF27" s="84"/>
      <c r="AG27" s="84">
        <f>IFERROR(__xludf.DUMMYFUNCTION("""COMPUTED_VALUE"""),10.0)</f>
        <v>10</v>
      </c>
      <c r="AH27" s="91">
        <f>IFERROR(__xludf.DUMMYFUNCTION("""COMPUTED_VALUE"""),1.0)</f>
        <v>1</v>
      </c>
      <c r="AI27" s="92">
        <f>IFERROR(__xludf.DUMMYFUNCTION("""COMPUTED_VALUE"""),0.0)</f>
        <v>0</v>
      </c>
      <c r="AJ27" s="93">
        <f>IFERROR(__xludf.DUMMYFUNCTION("""COMPUTED_VALUE"""),12.0)</f>
        <v>12</v>
      </c>
      <c r="AK27" s="94">
        <f>IFERROR(__xludf.DUMMYFUNCTION("""COMPUTED_VALUE"""),2.1)</f>
        <v>2.1</v>
      </c>
      <c r="AL27" s="95">
        <f>IFERROR(__xludf.DUMMYFUNCTION("""COMPUTED_VALUE"""),0.084)</f>
        <v>0.084</v>
      </c>
      <c r="AM27" s="96">
        <f>IFERROR(__xludf.DUMMYFUNCTION("""COMPUTED_VALUE"""),14.25)</f>
        <v>14.25</v>
      </c>
      <c r="AN27" s="97"/>
      <c r="AO27" s="97"/>
      <c r="AP27" s="100"/>
      <c r="AQ27" s="100"/>
      <c r="AR27" s="97"/>
      <c r="AS27" s="97"/>
      <c r="AT27" s="100"/>
      <c r="AU27" s="100"/>
      <c r="AV27" s="97"/>
      <c r="AW27" s="97"/>
    </row>
    <row r="28" ht="18.0" customHeight="1">
      <c r="A28" s="74">
        <f>IFERROR(__xludf.DUMMYFUNCTION("""COMPUTED_VALUE"""),20.0)</f>
        <v>20</v>
      </c>
      <c r="B28" s="75" t="str">
        <f>IFERROR(__xludf.DUMMYFUNCTION("""COMPUTED_VALUE"""),"23301078")</f>
        <v>23301078</v>
      </c>
      <c r="C28" s="76" t="str">
        <f>IFERROR(__xludf.DUMMYFUNCTION("""COMPUTED_VALUE"""),"Sheikh Mohammad Sakif Sameen")</f>
        <v>Sheikh Mohammad Sakif Sameen</v>
      </c>
      <c r="D28" s="77" t="b">
        <f>IFERROR(__xludf.DUMMYFUNCTION("""COMPUTED_VALUE"""),TRUE)</f>
        <v>1</v>
      </c>
      <c r="E28" s="78">
        <f>IFERROR(__xludf.DUMMYFUNCTION("""COMPUTED_VALUE"""),1.0)</f>
        <v>1</v>
      </c>
      <c r="F28" s="79" t="str">
        <f>IFERROR(__xludf.DUMMYFUNCTION("""COMPUTED_VALUE"""),"WARNING")</f>
        <v>WARNING</v>
      </c>
      <c r="G28" s="80">
        <f>IFERROR(__xludf.DUMMYFUNCTION("""COMPUTED_VALUE"""),0.0)</f>
        <v>0</v>
      </c>
      <c r="H28" s="74" t="str">
        <f>IFERROR(__xludf.DUMMYFUNCTION("""COMPUTED_VALUE"""),"S")</f>
        <v>S</v>
      </c>
      <c r="I28" s="74">
        <f>IFERROR(__xludf.DUMMYFUNCTION("""COMPUTED_VALUE"""),1.0)</f>
        <v>1</v>
      </c>
      <c r="J28" s="81">
        <f>IFERROR(__xludf.DUMMYFUNCTION("""COMPUTED_VALUE"""),1.0)</f>
        <v>1</v>
      </c>
      <c r="K28" s="84">
        <f>IFERROR(__xludf.DUMMYFUNCTION("""COMPUTED_VALUE"""),1.0)</f>
        <v>1</v>
      </c>
      <c r="L28" s="81">
        <f>IFERROR(__xludf.DUMMYFUNCTION("""COMPUTED_VALUE"""),1.0)</f>
        <v>1</v>
      </c>
      <c r="M28" s="81">
        <f>IFERROR(__xludf.DUMMYFUNCTION("""COMPUTED_VALUE"""),0.0)</f>
        <v>0</v>
      </c>
      <c r="N28" s="82">
        <f>IFERROR(__xludf.DUMMYFUNCTION("""COMPUTED_VALUE"""),1.0)</f>
        <v>1</v>
      </c>
      <c r="O28" s="83" t="str">
        <f>IFERROR(__xludf.DUMMYFUNCTION("""COMPUTED_VALUE"""),"A")</f>
        <v>A</v>
      </c>
      <c r="P28" s="84" t="str">
        <f>IFERROR(__xludf.DUMMYFUNCTION("""COMPUTED_VALUE"""),"S")</f>
        <v>S</v>
      </c>
      <c r="Q28" s="84" t="str">
        <f>IFERROR(__xludf.DUMMYFUNCTION("""COMPUTED_VALUE"""),"-")</f>
        <v>-</v>
      </c>
      <c r="R28" s="84" t="str">
        <f>IFERROR(__xludf.DUMMYFUNCTION("""COMPUTED_VALUE"""),"late")</f>
        <v>late</v>
      </c>
      <c r="S28" s="84" t="str">
        <f>IFERROR(__xludf.DUMMYFUNCTION("""COMPUTED_VALUE"""),"-")</f>
        <v>-</v>
      </c>
      <c r="T28" s="84">
        <f>IFERROR(__xludf.DUMMYFUNCTION("""COMPUTED_VALUE"""),4.0)</f>
        <v>4</v>
      </c>
      <c r="U28" s="84" t="str">
        <f>IFERROR(__xludf.DUMMYFUNCTION("""COMPUTED_VALUE"""),"a")</f>
        <v>a</v>
      </c>
      <c r="V28" s="85" t="str">
        <f>IFERROR(__xludf.DUMMYFUNCTION("""COMPUTED_VALUE"""),"-")</f>
        <v>-</v>
      </c>
      <c r="W28" s="101" t="str">
        <f>IFERROR(__xludf.DUMMYFUNCTION("""COMPUTED_VALUE"""),"N")</f>
        <v>N</v>
      </c>
      <c r="X28" s="102">
        <f>IFERROR(__xludf.DUMMYFUNCTION("""COMPUTED_VALUE"""),3.3333333333333335)</f>
        <v>3.333333333</v>
      </c>
      <c r="Y28" s="102" t="str">
        <f>IFERROR(__xludf.DUMMYFUNCTION("""COMPUTED_VALUE"""),"N")</f>
        <v>N</v>
      </c>
      <c r="Z28" s="102">
        <f>IFERROR(__xludf.DUMMYFUNCTION("""COMPUTED_VALUE"""),4.583333333333333)</f>
        <v>4.583333333</v>
      </c>
      <c r="AA28" s="102" t="str">
        <f>IFERROR(__xludf.DUMMYFUNCTION("""COMPUTED_VALUE"""),"N")</f>
        <v>N</v>
      </c>
      <c r="AB28" s="102">
        <f>IFERROR(__xludf.DUMMYFUNCTION("""COMPUTED_VALUE"""),4.166666666666667)</f>
        <v>4.166666667</v>
      </c>
      <c r="AC28" s="103">
        <f>IFERROR(__xludf.DUMMYFUNCTION("""COMPUTED_VALUE"""),5.0)</f>
        <v>5</v>
      </c>
      <c r="AD28" s="89" t="str">
        <f>IFERROR(__xludf.DUMMYFUNCTION("""COMPUTED_VALUE"""),"N")</f>
        <v>N</v>
      </c>
      <c r="AE28" s="83">
        <f>IFERROR(__xludf.DUMMYFUNCTION("""COMPUTED_VALUE"""),2.5)</f>
        <v>2.5</v>
      </c>
      <c r="AF28" s="84">
        <f>IFERROR(__xludf.DUMMYFUNCTION("""COMPUTED_VALUE"""),5.5)</f>
        <v>5.5</v>
      </c>
      <c r="AG28" s="84"/>
      <c r="AH28" s="91">
        <f>IFERROR(__xludf.DUMMYFUNCTION("""COMPUTED_VALUE"""),1.0)</f>
        <v>1</v>
      </c>
      <c r="AI28" s="92">
        <f>IFERROR(__xludf.DUMMYFUNCTION("""COMPUTED_VALUE"""),0.0)</f>
        <v>0</v>
      </c>
      <c r="AJ28" s="93">
        <f>IFERROR(__xludf.DUMMYFUNCTION("""COMPUTED_VALUE"""),6.0)</f>
        <v>6</v>
      </c>
      <c r="AK28" s="94">
        <f>IFERROR(__xludf.DUMMYFUNCTION("""COMPUTED_VALUE"""),1.2)</f>
        <v>1.2</v>
      </c>
      <c r="AL28" s="95">
        <f>IFERROR(__xludf.DUMMYFUNCTION("""COMPUTED_VALUE"""),0.855)</f>
        <v>0.855</v>
      </c>
      <c r="AM28" s="96">
        <f>IFERROR(__xludf.DUMMYFUNCTION("""COMPUTED_VALUE"""),8.25)</f>
        <v>8.25</v>
      </c>
      <c r="AN28" s="97"/>
      <c r="AO28" s="97"/>
      <c r="AP28" s="100"/>
      <c r="AQ28" s="100"/>
      <c r="AR28" s="97"/>
      <c r="AS28" s="97"/>
      <c r="AT28" s="100"/>
      <c r="AU28" s="100"/>
      <c r="AV28" s="97"/>
      <c r="AW28" s="97"/>
    </row>
    <row r="29" ht="18.0" customHeight="1">
      <c r="A29" s="74">
        <f>IFERROR(__xludf.DUMMYFUNCTION("""COMPUTED_VALUE"""),21.0)</f>
        <v>21</v>
      </c>
      <c r="B29" s="75" t="str">
        <f>IFERROR(__xludf.DUMMYFUNCTION("""COMPUTED_VALUE"""),"24101445")</f>
        <v>24101445</v>
      </c>
      <c r="C29" s="76" t="str">
        <f>IFERROR(__xludf.DUMMYFUNCTION("""COMPUTED_VALUE"""),"Araf Hossain")</f>
        <v>Araf Hossain</v>
      </c>
      <c r="D29" s="77" t="b">
        <f>IFERROR(__xludf.DUMMYFUNCTION("""COMPUTED_VALUE"""),TRUE)</f>
        <v>1</v>
      </c>
      <c r="E29" s="78">
        <f>IFERROR(__xludf.DUMMYFUNCTION("""COMPUTED_VALUE"""),1.0)</f>
        <v>1</v>
      </c>
      <c r="F29" s="79" t="str">
        <f>IFERROR(__xludf.DUMMYFUNCTION("""COMPUTED_VALUE"""),"WARNING")</f>
        <v>WARNING</v>
      </c>
      <c r="G29" s="80">
        <f>IFERROR(__xludf.DUMMYFUNCTION("""COMPUTED_VALUE"""),1.0)</f>
        <v>1</v>
      </c>
      <c r="H29" s="74">
        <f>IFERROR(__xludf.DUMMYFUNCTION("""COMPUTED_VALUE"""),0.0)</f>
        <v>0</v>
      </c>
      <c r="I29" s="74">
        <f>IFERROR(__xludf.DUMMYFUNCTION("""COMPUTED_VALUE"""),1.0)</f>
        <v>1</v>
      </c>
      <c r="J29" s="81">
        <f>IFERROR(__xludf.DUMMYFUNCTION("""COMPUTED_VALUE"""),1.0)</f>
        <v>1</v>
      </c>
      <c r="K29" s="84">
        <f>IFERROR(__xludf.DUMMYFUNCTION("""COMPUTED_VALUE"""),1.0)</f>
        <v>1</v>
      </c>
      <c r="L29" s="81">
        <f>IFERROR(__xludf.DUMMYFUNCTION("""COMPUTED_VALUE"""),1.0)</f>
        <v>1</v>
      </c>
      <c r="M29" s="81">
        <f>IFERROR(__xludf.DUMMYFUNCTION("""COMPUTED_VALUE"""),1.0)</f>
        <v>1</v>
      </c>
      <c r="N29" s="82">
        <f>IFERROR(__xludf.DUMMYFUNCTION("""COMPUTED_VALUE"""),1.0)</f>
        <v>1</v>
      </c>
      <c r="O29" s="83" t="str">
        <f>IFERROR(__xludf.DUMMYFUNCTION("""COMPUTED_VALUE"""),"-")</f>
        <v>-</v>
      </c>
      <c r="P29" s="84" t="str">
        <f>IFERROR(__xludf.DUMMYFUNCTION("""COMPUTED_VALUE"""),"a")</f>
        <v>a</v>
      </c>
      <c r="Q29" s="84" t="str">
        <f>IFERROR(__xludf.DUMMYFUNCTION("""COMPUTED_VALUE"""),"-")</f>
        <v>-</v>
      </c>
      <c r="R29" s="84" t="str">
        <f>IFERROR(__xludf.DUMMYFUNCTION("""COMPUTED_VALUE"""),"-")</f>
        <v>-</v>
      </c>
      <c r="S29" s="84" t="str">
        <f>IFERROR(__xludf.DUMMYFUNCTION("""COMPUTED_VALUE"""),"-")</f>
        <v>-</v>
      </c>
      <c r="T29" s="84">
        <f>IFERROR(__xludf.DUMMYFUNCTION("""COMPUTED_VALUE"""),5.0)</f>
        <v>5</v>
      </c>
      <c r="U29" s="84" t="str">
        <f>IFERROR(__xludf.DUMMYFUNCTION("""COMPUTED_VALUE"""),"-")</f>
        <v>-</v>
      </c>
      <c r="V29" s="85" t="str">
        <f>IFERROR(__xludf.DUMMYFUNCTION("""COMPUTED_VALUE"""),"-")</f>
        <v>-</v>
      </c>
      <c r="W29" s="101" t="str">
        <f>IFERROR(__xludf.DUMMYFUNCTION("""COMPUTED_VALUE"""),"N")</f>
        <v>N</v>
      </c>
      <c r="X29" s="102">
        <f>IFERROR(__xludf.DUMMYFUNCTION("""COMPUTED_VALUE"""),3.3333333333333335)</f>
        <v>3.333333333</v>
      </c>
      <c r="Y29" s="102" t="str">
        <f>IFERROR(__xludf.DUMMYFUNCTION("""COMPUTED_VALUE"""),"N")</f>
        <v>N</v>
      </c>
      <c r="Z29" s="102" t="str">
        <f>IFERROR(__xludf.DUMMYFUNCTION("""COMPUTED_VALUE"""),"N")</f>
        <v>N</v>
      </c>
      <c r="AA29" s="102" t="str">
        <f>IFERROR(__xludf.DUMMYFUNCTION("""COMPUTED_VALUE"""),"N")</f>
        <v>N</v>
      </c>
      <c r="AB29" s="102" t="str">
        <f>IFERROR(__xludf.DUMMYFUNCTION("""COMPUTED_VALUE"""),"N")</f>
        <v>N</v>
      </c>
      <c r="AC29" s="103" t="str">
        <f>IFERROR(__xludf.DUMMYFUNCTION("""COMPUTED_VALUE"""),"N")</f>
        <v>N</v>
      </c>
      <c r="AD29" s="89" t="str">
        <f>IFERROR(__xludf.DUMMYFUNCTION("""COMPUTED_VALUE"""),"N")</f>
        <v>N</v>
      </c>
      <c r="AE29" s="83">
        <f>IFERROR(__xludf.DUMMYFUNCTION("""COMPUTED_VALUE"""),2.75)</f>
        <v>2.75</v>
      </c>
      <c r="AF29" s="84"/>
      <c r="AG29" s="84">
        <f>IFERROR(__xludf.DUMMYFUNCTION("""COMPUTED_VALUE"""),7.25)</f>
        <v>7.25</v>
      </c>
      <c r="AH29" s="91">
        <f>IFERROR(__xludf.DUMMYFUNCTION("""COMPUTED_VALUE"""),1.0)</f>
        <v>1</v>
      </c>
      <c r="AI29" s="92">
        <f>IFERROR(__xludf.DUMMYFUNCTION("""COMPUTED_VALUE"""),0.0)</f>
        <v>0</v>
      </c>
      <c r="AJ29" s="93">
        <f>IFERROR(__xludf.DUMMYFUNCTION("""COMPUTED_VALUE"""),7.334)</f>
        <v>7.334</v>
      </c>
      <c r="AK29" s="94">
        <f>IFERROR(__xludf.DUMMYFUNCTION("""COMPUTED_VALUE"""),1.5)</f>
        <v>1.5</v>
      </c>
      <c r="AL29" s="95">
        <f>IFERROR(__xludf.DUMMYFUNCTION("""COMPUTED_VALUE"""),0.167)</f>
        <v>0.167</v>
      </c>
      <c r="AM29" s="96">
        <f>IFERROR(__xludf.DUMMYFUNCTION("""COMPUTED_VALUE"""),9.25)</f>
        <v>9.25</v>
      </c>
      <c r="AN29" s="97"/>
      <c r="AO29" s="97"/>
      <c r="AP29" s="100"/>
      <c r="AQ29" s="100"/>
      <c r="AR29" s="97"/>
      <c r="AS29" s="97"/>
      <c r="AT29" s="100"/>
      <c r="AU29" s="100"/>
      <c r="AV29" s="97"/>
      <c r="AW29" s="97"/>
    </row>
    <row r="30" ht="18.0" customHeight="1">
      <c r="A30" s="74">
        <f>IFERROR(__xludf.DUMMYFUNCTION("""COMPUTED_VALUE"""),22.0)</f>
        <v>22</v>
      </c>
      <c r="B30" s="75" t="str">
        <f>IFERROR(__xludf.DUMMYFUNCTION("""COMPUTED_VALUE"""),"24141007")</f>
        <v>24141007</v>
      </c>
      <c r="C30" s="76" t="str">
        <f>IFERROR(__xludf.DUMMYFUNCTION("""COMPUTED_VALUE"""),"Siraz Us Saki Prachi")</f>
        <v>Siraz Us Saki Prachi</v>
      </c>
      <c r="D30" s="77" t="b">
        <f>IFERROR(__xludf.DUMMYFUNCTION("""COMPUTED_VALUE"""),TRUE)</f>
        <v>1</v>
      </c>
      <c r="E30" s="78">
        <f>IFERROR(__xludf.DUMMYFUNCTION("""COMPUTED_VALUE"""),1.0)</f>
        <v>1</v>
      </c>
      <c r="F30" s="79" t="str">
        <f>IFERROR(__xludf.DUMMYFUNCTION("""COMPUTED_VALUE"""),"WARNING")</f>
        <v>WARNING</v>
      </c>
      <c r="G30" s="80">
        <f>IFERROR(__xludf.DUMMYFUNCTION("""COMPUTED_VALUE"""),1.0)</f>
        <v>1</v>
      </c>
      <c r="H30" s="74" t="str">
        <f>IFERROR(__xludf.DUMMYFUNCTION("""COMPUTED_VALUE"""),"S")</f>
        <v>S</v>
      </c>
      <c r="I30" s="74">
        <f>IFERROR(__xludf.DUMMYFUNCTION("""COMPUTED_VALUE"""),1.0)</f>
        <v>1</v>
      </c>
      <c r="J30" s="81">
        <f>IFERROR(__xludf.DUMMYFUNCTION("""COMPUTED_VALUE"""),1.0)</f>
        <v>1</v>
      </c>
      <c r="K30" s="84">
        <f>IFERROR(__xludf.DUMMYFUNCTION("""COMPUTED_VALUE"""),1.0)</f>
        <v>1</v>
      </c>
      <c r="L30" s="81">
        <f>IFERROR(__xludf.DUMMYFUNCTION("""COMPUTED_VALUE"""),0.0)</f>
        <v>0</v>
      </c>
      <c r="M30" s="81">
        <f>IFERROR(__xludf.DUMMYFUNCTION("""COMPUTED_VALUE"""),1.0)</f>
        <v>1</v>
      </c>
      <c r="N30" s="82">
        <f>IFERROR(__xludf.DUMMYFUNCTION("""COMPUTED_VALUE"""),1.0)</f>
        <v>1</v>
      </c>
      <c r="O30" s="83" t="str">
        <f>IFERROR(__xludf.DUMMYFUNCTION("""COMPUTED_VALUE"""),"-")</f>
        <v>-</v>
      </c>
      <c r="P30" s="84" t="str">
        <f>IFERROR(__xludf.DUMMYFUNCTION("""COMPUTED_VALUE"""),"s")</f>
        <v>s</v>
      </c>
      <c r="Q30" s="84" t="str">
        <f>IFERROR(__xludf.DUMMYFUNCTION("""COMPUTED_VALUE"""),"-")</f>
        <v>-</v>
      </c>
      <c r="R30" s="84" t="str">
        <f>IFERROR(__xludf.DUMMYFUNCTION("""COMPUTED_VALUE"""),"-")</f>
        <v>-</v>
      </c>
      <c r="S30" s="84" t="str">
        <f>IFERROR(__xludf.DUMMYFUNCTION("""COMPUTED_VALUE"""),"-")</f>
        <v>-</v>
      </c>
      <c r="T30" s="84" t="str">
        <f>IFERROR(__xludf.DUMMYFUNCTION("""COMPUTED_VALUE"""),"a")</f>
        <v>a</v>
      </c>
      <c r="U30" s="84" t="str">
        <f>IFERROR(__xludf.DUMMYFUNCTION("""COMPUTED_VALUE"""),"-")</f>
        <v>-</v>
      </c>
      <c r="V30" s="85" t="str">
        <f>IFERROR(__xludf.DUMMYFUNCTION("""COMPUTED_VALUE"""),"-")</f>
        <v>-</v>
      </c>
      <c r="W30" s="101">
        <f>IFERROR(__xludf.DUMMYFUNCTION("""COMPUTED_VALUE"""),5.0)</f>
        <v>5</v>
      </c>
      <c r="X30" s="102">
        <f>IFERROR(__xludf.DUMMYFUNCTION("""COMPUTED_VALUE"""),3.75)</f>
        <v>3.75</v>
      </c>
      <c r="Y30" s="102" t="str">
        <f>IFERROR(__xludf.DUMMYFUNCTION("""COMPUTED_VALUE"""),"N")</f>
        <v>N</v>
      </c>
      <c r="Z30" s="102" t="str">
        <f>IFERROR(__xludf.DUMMYFUNCTION("""COMPUTED_VALUE"""),"N")</f>
        <v>N</v>
      </c>
      <c r="AA30" s="102" t="str">
        <f>IFERROR(__xludf.DUMMYFUNCTION("""COMPUTED_VALUE"""),"N")</f>
        <v>N</v>
      </c>
      <c r="AB30" s="102">
        <f>IFERROR(__xludf.DUMMYFUNCTION("""COMPUTED_VALUE"""),0.8333333333333334)</f>
        <v>0.8333333333</v>
      </c>
      <c r="AC30" s="103" t="str">
        <f>IFERROR(__xludf.DUMMYFUNCTION("""COMPUTED_VALUE"""),"N")</f>
        <v>N</v>
      </c>
      <c r="AD30" s="89" t="str">
        <f>IFERROR(__xludf.DUMMYFUNCTION("""COMPUTED_VALUE"""),"N")</f>
        <v>N</v>
      </c>
      <c r="AE30" s="83">
        <f>IFERROR(__xludf.DUMMYFUNCTION("""COMPUTED_VALUE"""),6.5)</f>
        <v>6.5</v>
      </c>
      <c r="AF30" s="84"/>
      <c r="AG30" s="84">
        <f>IFERROR(__xludf.DUMMYFUNCTION("""COMPUTED_VALUE"""),10.0)</f>
        <v>10</v>
      </c>
      <c r="AH30" s="91">
        <f>IFERROR(__xludf.DUMMYFUNCTION("""COMPUTED_VALUE"""),10.0)</f>
        <v>10</v>
      </c>
      <c r="AI30" s="92">
        <f>IFERROR(__xludf.DUMMYFUNCTION("""COMPUTED_VALUE"""),0.0)</f>
        <v>0</v>
      </c>
      <c r="AJ30" s="93">
        <f>IFERROR(__xludf.DUMMYFUNCTION("""COMPUTED_VALUE"""),17.667)</f>
        <v>17.667</v>
      </c>
      <c r="AK30" s="94">
        <f>IFERROR(__xludf.DUMMYFUNCTION("""COMPUTED_VALUE"""),0.0)</f>
        <v>0</v>
      </c>
      <c r="AL30" s="95">
        <f>IFERROR(__xludf.DUMMYFUNCTION("""COMPUTED_VALUE"""),0.48)</f>
        <v>0.48</v>
      </c>
      <c r="AM30" s="96">
        <f>IFERROR(__xludf.DUMMYFUNCTION("""COMPUTED_VALUE"""),18.25)</f>
        <v>18.25</v>
      </c>
      <c r="AN30" s="97"/>
      <c r="AO30" s="97"/>
      <c r="AP30" s="100"/>
      <c r="AQ30" s="100"/>
      <c r="AR30" s="97"/>
      <c r="AS30" s="97"/>
      <c r="AT30" s="100"/>
      <c r="AU30" s="100"/>
      <c r="AV30" s="97"/>
      <c r="AW30" s="97"/>
    </row>
    <row r="31" ht="18.0" customHeight="1">
      <c r="A31" s="74">
        <f>IFERROR(__xludf.DUMMYFUNCTION("""COMPUTED_VALUE"""),23.0)</f>
        <v>23</v>
      </c>
      <c r="B31" s="75" t="str">
        <f>IFERROR(__xludf.DUMMYFUNCTION("""COMPUTED_VALUE"""),"24201031")</f>
        <v>24201031</v>
      </c>
      <c r="C31" s="76" t="str">
        <f>IFERROR(__xludf.DUMMYFUNCTION("""COMPUTED_VALUE"""),"Abu Sufian Siam")</f>
        <v>Abu Sufian Siam</v>
      </c>
      <c r="D31" s="77" t="b">
        <f>IFERROR(__xludf.DUMMYFUNCTION("""COMPUTED_VALUE"""),TRUE)</f>
        <v>1</v>
      </c>
      <c r="E31" s="78">
        <f>IFERROR(__xludf.DUMMYFUNCTION("""COMPUTED_VALUE"""),1.0)</f>
        <v>1</v>
      </c>
      <c r="F31" s="79" t="str">
        <f>IFERROR(__xludf.DUMMYFUNCTION("""COMPUTED_VALUE"""),"WARNING")</f>
        <v>WARNING</v>
      </c>
      <c r="G31" s="80">
        <f>IFERROR(__xludf.DUMMYFUNCTION("""COMPUTED_VALUE"""),1.0)</f>
        <v>1</v>
      </c>
      <c r="H31" s="74">
        <f>IFERROR(__xludf.DUMMYFUNCTION("""COMPUTED_VALUE"""),1.0)</f>
        <v>1</v>
      </c>
      <c r="I31" s="74">
        <f>IFERROR(__xludf.DUMMYFUNCTION("""COMPUTED_VALUE"""),1.0)</f>
        <v>1</v>
      </c>
      <c r="J31" s="81">
        <f>IFERROR(__xludf.DUMMYFUNCTION("""COMPUTED_VALUE"""),1.0)</f>
        <v>1</v>
      </c>
      <c r="K31" s="84">
        <f>IFERROR(__xludf.DUMMYFUNCTION("""COMPUTED_VALUE"""),1.0)</f>
        <v>1</v>
      </c>
      <c r="L31" s="81">
        <f>IFERROR(__xludf.DUMMYFUNCTION("""COMPUTED_VALUE"""),1.0)</f>
        <v>1</v>
      </c>
      <c r="M31" s="81">
        <f>IFERROR(__xludf.DUMMYFUNCTION("""COMPUTED_VALUE"""),0.0)</f>
        <v>0</v>
      </c>
      <c r="N31" s="82">
        <f>IFERROR(__xludf.DUMMYFUNCTION("""COMPUTED_VALUE"""),1.0)</f>
        <v>1</v>
      </c>
      <c r="O31" s="83" t="str">
        <f>IFERROR(__xludf.DUMMYFUNCTION("""COMPUTED_VALUE"""),"-")</f>
        <v>-</v>
      </c>
      <c r="P31" s="84">
        <f>IFERROR(__xludf.DUMMYFUNCTION("""COMPUTED_VALUE"""),5.0)</f>
        <v>5</v>
      </c>
      <c r="Q31" s="84" t="str">
        <f>IFERROR(__xludf.DUMMYFUNCTION("""COMPUTED_VALUE"""),"-")</f>
        <v>-</v>
      </c>
      <c r="R31" s="84" t="str">
        <f>IFERROR(__xludf.DUMMYFUNCTION("""COMPUTED_VALUE"""),"-")</f>
        <v>-</v>
      </c>
      <c r="S31" s="84" t="str">
        <f>IFERROR(__xludf.DUMMYFUNCTION("""COMPUTED_VALUE"""),"-")</f>
        <v>-</v>
      </c>
      <c r="T31" s="84">
        <f>IFERROR(__xludf.DUMMYFUNCTION("""COMPUTED_VALUE"""),5.0)</f>
        <v>5</v>
      </c>
      <c r="U31" s="84" t="str">
        <f>IFERROR(__xludf.DUMMYFUNCTION("""COMPUTED_VALUE"""),"a")</f>
        <v>a</v>
      </c>
      <c r="V31" s="85" t="str">
        <f>IFERROR(__xludf.DUMMYFUNCTION("""COMPUTED_VALUE"""),"-")</f>
        <v>-</v>
      </c>
      <c r="W31" s="101" t="str">
        <f>IFERROR(__xludf.DUMMYFUNCTION("""COMPUTED_VALUE"""),"N")</f>
        <v>N</v>
      </c>
      <c r="X31" s="102">
        <f>IFERROR(__xludf.DUMMYFUNCTION("""COMPUTED_VALUE"""),3.3333333333333335)</f>
        <v>3.333333333</v>
      </c>
      <c r="Y31" s="102" t="str">
        <f>IFERROR(__xludf.DUMMYFUNCTION("""COMPUTED_VALUE"""),"N")</f>
        <v>N</v>
      </c>
      <c r="Z31" s="102" t="str">
        <f>IFERROR(__xludf.DUMMYFUNCTION("""COMPUTED_VALUE"""),"N")</f>
        <v>N</v>
      </c>
      <c r="AA31" s="102">
        <f>IFERROR(__xludf.DUMMYFUNCTION("""COMPUTED_VALUE"""),4.285714285714286)</f>
        <v>4.285714286</v>
      </c>
      <c r="AB31" s="102">
        <f>IFERROR(__xludf.DUMMYFUNCTION("""COMPUTED_VALUE"""),4.166666666666667)</f>
        <v>4.166666667</v>
      </c>
      <c r="AC31" s="103" t="str">
        <f>IFERROR(__xludf.DUMMYFUNCTION("""COMPUTED_VALUE"""),"N")</f>
        <v>N</v>
      </c>
      <c r="AD31" s="89" t="str">
        <f>IFERROR(__xludf.DUMMYFUNCTION("""COMPUTED_VALUE"""),"N")</f>
        <v>N</v>
      </c>
      <c r="AE31" s="83">
        <f>IFERROR(__xludf.DUMMYFUNCTION("""COMPUTED_VALUE"""),6.0)</f>
        <v>6</v>
      </c>
      <c r="AF31" s="84">
        <f>IFERROR(__xludf.DUMMYFUNCTION("""COMPUTED_VALUE"""),7.0)</f>
        <v>7</v>
      </c>
      <c r="AG31" s="84"/>
      <c r="AH31" s="91">
        <f>IFERROR(__xludf.DUMMYFUNCTION("""COMPUTED_VALUE"""),1.0)</f>
        <v>1</v>
      </c>
      <c r="AI31" s="92">
        <f>IFERROR(__xludf.DUMMYFUNCTION("""COMPUTED_VALUE"""),0.0)</f>
        <v>0</v>
      </c>
      <c r="AJ31" s="93">
        <f>IFERROR(__xludf.DUMMYFUNCTION("""COMPUTED_VALUE"""),9.334)</f>
        <v>9.334</v>
      </c>
      <c r="AK31" s="94">
        <f>IFERROR(__xludf.DUMMYFUNCTION("""COMPUTED_VALUE"""),3.0)</f>
        <v>3</v>
      </c>
      <c r="AL31" s="95">
        <f>IFERROR(__xludf.DUMMYFUNCTION("""COMPUTED_VALUE"""),0.59)</f>
        <v>0.59</v>
      </c>
      <c r="AM31" s="96">
        <f>IFERROR(__xludf.DUMMYFUNCTION("""COMPUTED_VALUE"""),13.0)</f>
        <v>13</v>
      </c>
      <c r="AN31" s="97"/>
      <c r="AO31" s="97"/>
      <c r="AP31" s="100"/>
      <c r="AQ31" s="100"/>
      <c r="AR31" s="97"/>
      <c r="AS31" s="97"/>
      <c r="AT31" s="100"/>
      <c r="AU31" s="100"/>
      <c r="AV31" s="97"/>
      <c r="AW31" s="97"/>
    </row>
    <row r="32" ht="18.0" customHeight="1">
      <c r="A32" s="74">
        <f>IFERROR(__xludf.DUMMYFUNCTION("""COMPUTED_VALUE"""),24.0)</f>
        <v>24</v>
      </c>
      <c r="B32" s="75" t="str">
        <f>IFERROR(__xludf.DUMMYFUNCTION("""COMPUTED_VALUE"""),"24201194")</f>
        <v>24201194</v>
      </c>
      <c r="C32" s="76" t="str">
        <f>IFERROR(__xludf.DUMMYFUNCTION("""COMPUTED_VALUE"""),"Shehta Sayed Khan")</f>
        <v>Shehta Sayed Khan</v>
      </c>
      <c r="D32" s="77" t="b">
        <f>IFERROR(__xludf.DUMMYFUNCTION("""COMPUTED_VALUE"""),TRUE)</f>
        <v>1</v>
      </c>
      <c r="E32" s="78">
        <f>IFERROR(__xludf.DUMMYFUNCTION("""COMPUTED_VALUE"""),0.0)</f>
        <v>0</v>
      </c>
      <c r="F32" s="79" t="str">
        <f>IFERROR(__xludf.DUMMYFUNCTION("""COMPUTED_VALUE"""),"OKAY")</f>
        <v>OKAY</v>
      </c>
      <c r="G32" s="80">
        <f>IFERROR(__xludf.DUMMYFUNCTION("""COMPUTED_VALUE"""),1.0)</f>
        <v>1</v>
      </c>
      <c r="H32" s="74">
        <f>IFERROR(__xludf.DUMMYFUNCTION("""COMPUTED_VALUE"""),1.0)</f>
        <v>1</v>
      </c>
      <c r="I32" s="74">
        <f>IFERROR(__xludf.DUMMYFUNCTION("""COMPUTED_VALUE"""),1.0)</f>
        <v>1</v>
      </c>
      <c r="J32" s="81">
        <f>IFERROR(__xludf.DUMMYFUNCTION("""COMPUTED_VALUE"""),1.0)</f>
        <v>1</v>
      </c>
      <c r="K32" s="74">
        <f>IFERROR(__xludf.DUMMYFUNCTION("""COMPUTED_VALUE"""),1.0)</f>
        <v>1</v>
      </c>
      <c r="L32" s="81">
        <f>IFERROR(__xludf.DUMMYFUNCTION("""COMPUTED_VALUE"""),1.0)</f>
        <v>1</v>
      </c>
      <c r="M32" s="81">
        <f>IFERROR(__xludf.DUMMYFUNCTION("""COMPUTED_VALUE"""),1.0)</f>
        <v>1</v>
      </c>
      <c r="N32" s="82">
        <f>IFERROR(__xludf.DUMMYFUNCTION("""COMPUTED_VALUE"""),1.0)</f>
        <v>1</v>
      </c>
      <c r="O32" s="83" t="str">
        <f>IFERROR(__xludf.DUMMYFUNCTION("""COMPUTED_VALUE"""),"-")</f>
        <v>-</v>
      </c>
      <c r="P32" s="84">
        <f>IFERROR(__xludf.DUMMYFUNCTION("""COMPUTED_VALUE"""),5.0)</f>
        <v>5</v>
      </c>
      <c r="Q32" s="84" t="str">
        <f>IFERROR(__xludf.DUMMYFUNCTION("""COMPUTED_VALUE"""),"-")</f>
        <v>-</v>
      </c>
      <c r="R32" s="84" t="str">
        <f>IFERROR(__xludf.DUMMYFUNCTION("""COMPUTED_VALUE"""),"-")</f>
        <v>-</v>
      </c>
      <c r="S32" s="84" t="str">
        <f>IFERROR(__xludf.DUMMYFUNCTION("""COMPUTED_VALUE"""),"-")</f>
        <v>-</v>
      </c>
      <c r="T32" s="84">
        <f>IFERROR(__xludf.DUMMYFUNCTION("""COMPUTED_VALUE"""),5.0)</f>
        <v>5</v>
      </c>
      <c r="U32" s="84" t="str">
        <f>IFERROR(__xludf.DUMMYFUNCTION("""COMPUTED_VALUE"""),"-")</f>
        <v>-</v>
      </c>
      <c r="V32" s="85" t="str">
        <f>IFERROR(__xludf.DUMMYFUNCTION("""COMPUTED_VALUE"""),"-")</f>
        <v>-</v>
      </c>
      <c r="W32" s="101">
        <f>IFERROR(__xludf.DUMMYFUNCTION("""COMPUTED_VALUE"""),5.0)</f>
        <v>5</v>
      </c>
      <c r="X32" s="102">
        <f>IFERROR(__xludf.DUMMYFUNCTION("""COMPUTED_VALUE"""),4.583333333333333)</f>
        <v>4.583333333</v>
      </c>
      <c r="Y32" s="102" t="str">
        <f>IFERROR(__xludf.DUMMYFUNCTION("""COMPUTED_VALUE"""),"N")</f>
        <v>N</v>
      </c>
      <c r="Z32" s="102" t="str">
        <f>IFERROR(__xludf.DUMMYFUNCTION("""COMPUTED_VALUE"""),"N")</f>
        <v>N</v>
      </c>
      <c r="AA32" s="102" t="str">
        <f>IFERROR(__xludf.DUMMYFUNCTION("""COMPUTED_VALUE"""),"N")</f>
        <v>N</v>
      </c>
      <c r="AB32" s="102">
        <f>IFERROR(__xludf.DUMMYFUNCTION("""COMPUTED_VALUE"""),4.166666666666667)</f>
        <v>4.166666667</v>
      </c>
      <c r="AC32" s="103">
        <f>IFERROR(__xludf.DUMMYFUNCTION("""COMPUTED_VALUE"""),2.5)</f>
        <v>2.5</v>
      </c>
      <c r="AD32" s="89" t="str">
        <f>IFERROR(__xludf.DUMMYFUNCTION("""COMPUTED_VALUE"""),"N")</f>
        <v>N</v>
      </c>
      <c r="AE32" s="83">
        <f>IFERROR(__xludf.DUMMYFUNCTION("""COMPUTED_VALUE"""),5.75)</f>
        <v>5.75</v>
      </c>
      <c r="AF32" s="84"/>
      <c r="AG32" s="84">
        <f>IFERROR(__xludf.DUMMYFUNCTION("""COMPUTED_VALUE"""),10.0)</f>
        <v>10</v>
      </c>
      <c r="AH32" s="91">
        <f>IFERROR(__xludf.DUMMYFUNCTION("""COMPUTED_VALUE"""),1.0)</f>
        <v>1</v>
      </c>
      <c r="AI32" s="92">
        <f>IFERROR(__xludf.DUMMYFUNCTION("""COMPUTED_VALUE"""),0.0)</f>
        <v>0</v>
      </c>
      <c r="AJ32" s="93">
        <f>IFERROR(__xludf.DUMMYFUNCTION("""COMPUTED_VALUE"""),11.167)</f>
        <v>11.167</v>
      </c>
      <c r="AK32" s="94">
        <f>IFERROR(__xludf.DUMMYFUNCTION("""COMPUTED_VALUE"""),3.0)</f>
        <v>3</v>
      </c>
      <c r="AL32" s="95">
        <f>IFERROR(__xludf.DUMMYFUNCTION("""COMPUTED_VALUE"""),0.813)</f>
        <v>0.813</v>
      </c>
      <c r="AM32" s="96">
        <f>IFERROR(__xludf.DUMMYFUNCTION("""COMPUTED_VALUE"""),15.0)</f>
        <v>15</v>
      </c>
      <c r="AN32" s="97"/>
      <c r="AO32" s="97"/>
      <c r="AP32" s="100"/>
      <c r="AQ32" s="100"/>
      <c r="AR32" s="97"/>
      <c r="AS32" s="97"/>
      <c r="AT32" s="100"/>
      <c r="AU32" s="100"/>
      <c r="AV32" s="97"/>
      <c r="AW32" s="97"/>
    </row>
    <row r="33" ht="18.0" customHeight="1">
      <c r="A33" s="74">
        <f>IFERROR(__xludf.DUMMYFUNCTION("""COMPUTED_VALUE"""),25.0)</f>
        <v>25</v>
      </c>
      <c r="B33" s="75" t="str">
        <f>IFERROR(__xludf.DUMMYFUNCTION("""COMPUTED_VALUE"""),"24201258")</f>
        <v>24201258</v>
      </c>
      <c r="C33" s="76" t="str">
        <f>IFERROR(__xludf.DUMMYFUNCTION("""COMPUTED_VALUE"""),"Shahriar Khan Ome")</f>
        <v>Shahriar Khan Ome</v>
      </c>
      <c r="D33" s="77" t="b">
        <f>IFERROR(__xludf.DUMMYFUNCTION("""COMPUTED_VALUE"""),TRUE)</f>
        <v>1</v>
      </c>
      <c r="E33" s="78">
        <f>IFERROR(__xludf.DUMMYFUNCTION("""COMPUTED_VALUE"""),0.0)</f>
        <v>0</v>
      </c>
      <c r="F33" s="79" t="str">
        <f>IFERROR(__xludf.DUMMYFUNCTION("""COMPUTED_VALUE"""),"OKAY")</f>
        <v>OKAY</v>
      </c>
      <c r="G33" s="80">
        <f>IFERROR(__xludf.DUMMYFUNCTION("""COMPUTED_VALUE"""),1.0)</f>
        <v>1</v>
      </c>
      <c r="H33" s="74">
        <f>IFERROR(__xludf.DUMMYFUNCTION("""COMPUTED_VALUE"""),1.0)</f>
        <v>1</v>
      </c>
      <c r="I33" s="74">
        <f>IFERROR(__xludf.DUMMYFUNCTION("""COMPUTED_VALUE"""),1.0)</f>
        <v>1</v>
      </c>
      <c r="J33" s="81">
        <f>IFERROR(__xludf.DUMMYFUNCTION("""COMPUTED_VALUE"""),1.0)</f>
        <v>1</v>
      </c>
      <c r="K33" s="84">
        <f>IFERROR(__xludf.DUMMYFUNCTION("""COMPUTED_VALUE"""),1.0)</f>
        <v>1</v>
      </c>
      <c r="L33" s="81">
        <f>IFERROR(__xludf.DUMMYFUNCTION("""COMPUTED_VALUE"""),1.0)</f>
        <v>1</v>
      </c>
      <c r="M33" s="81">
        <f>IFERROR(__xludf.DUMMYFUNCTION("""COMPUTED_VALUE"""),1.0)</f>
        <v>1</v>
      </c>
      <c r="N33" s="82">
        <f>IFERROR(__xludf.DUMMYFUNCTION("""COMPUTED_VALUE"""),1.0)</f>
        <v>1</v>
      </c>
      <c r="O33" s="83" t="str">
        <f>IFERROR(__xludf.DUMMYFUNCTION("""COMPUTED_VALUE"""),"-")</f>
        <v>-</v>
      </c>
      <c r="P33" s="84">
        <f>IFERROR(__xludf.DUMMYFUNCTION("""COMPUTED_VALUE"""),3.0)</f>
        <v>3</v>
      </c>
      <c r="Q33" s="84" t="str">
        <f>IFERROR(__xludf.DUMMYFUNCTION("""COMPUTED_VALUE"""),"-")</f>
        <v>-</v>
      </c>
      <c r="R33" s="84" t="str">
        <f>IFERROR(__xludf.DUMMYFUNCTION("""COMPUTED_VALUE"""),"-")</f>
        <v>-</v>
      </c>
      <c r="S33" s="84" t="str">
        <f>IFERROR(__xludf.DUMMYFUNCTION("""COMPUTED_VALUE"""),"-")</f>
        <v>-</v>
      </c>
      <c r="T33" s="84">
        <f>IFERROR(__xludf.DUMMYFUNCTION("""COMPUTED_VALUE"""),5.0)</f>
        <v>5</v>
      </c>
      <c r="U33" s="84" t="str">
        <f>IFERROR(__xludf.DUMMYFUNCTION("""COMPUTED_VALUE"""),"-")</f>
        <v>-</v>
      </c>
      <c r="V33" s="85" t="str">
        <f>IFERROR(__xludf.DUMMYFUNCTION("""COMPUTED_VALUE"""),"-")</f>
        <v>-</v>
      </c>
      <c r="W33" s="101">
        <f>IFERROR(__xludf.DUMMYFUNCTION("""COMPUTED_VALUE"""),5.0)</f>
        <v>5</v>
      </c>
      <c r="X33" s="102">
        <f>IFERROR(__xludf.DUMMYFUNCTION("""COMPUTED_VALUE"""),3.3333333333333335)</f>
        <v>3.333333333</v>
      </c>
      <c r="Y33" s="102">
        <f>IFERROR(__xludf.DUMMYFUNCTION("""COMPUTED_VALUE"""),5.0)</f>
        <v>5</v>
      </c>
      <c r="Z33" s="102">
        <f>IFERROR(__xludf.DUMMYFUNCTION("""COMPUTED_VALUE"""),5.0)</f>
        <v>5</v>
      </c>
      <c r="AA33" s="102">
        <f>IFERROR(__xludf.DUMMYFUNCTION("""COMPUTED_VALUE"""),5.0)</f>
        <v>5</v>
      </c>
      <c r="AB33" s="102">
        <f>IFERROR(__xludf.DUMMYFUNCTION("""COMPUTED_VALUE"""),5.0)</f>
        <v>5</v>
      </c>
      <c r="AC33" s="103">
        <f>IFERROR(__xludf.DUMMYFUNCTION("""COMPUTED_VALUE"""),5.0)</f>
        <v>5</v>
      </c>
      <c r="AD33" s="89">
        <f>IFERROR(__xludf.DUMMYFUNCTION("""COMPUTED_VALUE"""),5.0)</f>
        <v>5</v>
      </c>
      <c r="AE33" s="83">
        <f>IFERROR(__xludf.DUMMYFUNCTION("""COMPUTED_VALUE"""),9.5)</f>
        <v>9.5</v>
      </c>
      <c r="AF33" s="84">
        <f>IFERROR(__xludf.DUMMYFUNCTION("""COMPUTED_VALUE"""),10.0)</f>
        <v>10</v>
      </c>
      <c r="AG33" s="84">
        <f>IFERROR(__xludf.DUMMYFUNCTION("""COMPUTED_VALUE"""),10.0)</f>
        <v>10</v>
      </c>
      <c r="AH33" s="91">
        <f>IFERROR(__xludf.DUMMYFUNCTION("""COMPUTED_VALUE"""),8.0)</f>
        <v>8</v>
      </c>
      <c r="AI33" s="92">
        <f>IFERROR(__xludf.DUMMYFUNCTION("""COMPUTED_VALUE"""),0.0)</f>
        <v>0</v>
      </c>
      <c r="AJ33" s="93">
        <f>IFERROR(__xludf.DUMMYFUNCTION("""COMPUTED_VALUE"""),19.667)</f>
        <v>19.667</v>
      </c>
      <c r="AK33" s="94">
        <f>IFERROR(__xludf.DUMMYFUNCTION("""COMPUTED_VALUE"""),2.4)</f>
        <v>2.4</v>
      </c>
      <c r="AL33" s="95">
        <f>IFERROR(__xludf.DUMMYFUNCTION("""COMPUTED_VALUE"""),1.917)</f>
        <v>1.917</v>
      </c>
      <c r="AM33" s="96">
        <f>IFERROR(__xludf.DUMMYFUNCTION("""COMPUTED_VALUE"""),24.0)</f>
        <v>24</v>
      </c>
      <c r="AN33" s="97"/>
      <c r="AO33" s="97"/>
      <c r="AP33" s="100"/>
      <c r="AQ33" s="100"/>
      <c r="AR33" s="97"/>
      <c r="AS33" s="97"/>
      <c r="AT33" s="100"/>
      <c r="AU33" s="100"/>
      <c r="AV33" s="97"/>
      <c r="AW33" s="97"/>
    </row>
    <row r="34" ht="18.0" customHeight="1">
      <c r="A34" s="74">
        <f>IFERROR(__xludf.DUMMYFUNCTION("""COMPUTED_VALUE"""),26.0)</f>
        <v>26</v>
      </c>
      <c r="B34" s="75" t="str">
        <f>IFERROR(__xludf.DUMMYFUNCTION("""COMPUTED_VALUE"""),"24201465")</f>
        <v>24201465</v>
      </c>
      <c r="C34" s="76" t="str">
        <f>IFERROR(__xludf.DUMMYFUNCTION("""COMPUTED_VALUE"""),"Kaniz Fatima Mim")</f>
        <v>Kaniz Fatima Mim</v>
      </c>
      <c r="D34" s="77" t="b">
        <f>IFERROR(__xludf.DUMMYFUNCTION("""COMPUTED_VALUE"""),TRUE)</f>
        <v>1</v>
      </c>
      <c r="E34" s="78">
        <f>IFERROR(__xludf.DUMMYFUNCTION("""COMPUTED_VALUE"""),3.0)</f>
        <v>3</v>
      </c>
      <c r="F34" s="79" t="str">
        <f>IFERROR(__xludf.DUMMYFUNCTION("""COMPUTED_VALUE"""),"BARRED")</f>
        <v>BARRED</v>
      </c>
      <c r="G34" s="80">
        <f>IFERROR(__xludf.DUMMYFUNCTION("""COMPUTED_VALUE"""),0.0)</f>
        <v>0</v>
      </c>
      <c r="H34" s="74" t="str">
        <f>IFERROR(__xludf.DUMMYFUNCTION("""COMPUTED_VALUE"""),"S")</f>
        <v>S</v>
      </c>
      <c r="I34" s="74">
        <f>IFERROR(__xludf.DUMMYFUNCTION("""COMPUTED_VALUE"""),1.0)</f>
        <v>1</v>
      </c>
      <c r="J34" s="81">
        <f>IFERROR(__xludf.DUMMYFUNCTION("""COMPUTED_VALUE"""),1.0)</f>
        <v>1</v>
      </c>
      <c r="K34" s="84">
        <f>IFERROR(__xludf.DUMMYFUNCTION("""COMPUTED_VALUE"""),1.0)</f>
        <v>1</v>
      </c>
      <c r="L34" s="81">
        <f>IFERROR(__xludf.DUMMYFUNCTION("""COMPUTED_VALUE"""),0.0)</f>
        <v>0</v>
      </c>
      <c r="M34" s="81">
        <f>IFERROR(__xludf.DUMMYFUNCTION("""COMPUTED_VALUE"""),0.0)</f>
        <v>0</v>
      </c>
      <c r="N34" s="82">
        <f>IFERROR(__xludf.DUMMYFUNCTION("""COMPUTED_VALUE"""),0.0)</f>
        <v>0</v>
      </c>
      <c r="O34" s="83" t="str">
        <f>IFERROR(__xludf.DUMMYFUNCTION("""COMPUTED_VALUE"""),"A")</f>
        <v>A</v>
      </c>
      <c r="P34" s="84" t="str">
        <f>IFERROR(__xludf.DUMMYFUNCTION("""COMPUTED_VALUE"""),"S")</f>
        <v>S</v>
      </c>
      <c r="Q34" s="84" t="str">
        <f>IFERROR(__xludf.DUMMYFUNCTION("""COMPUTED_VALUE"""),"-")</f>
        <v>-</v>
      </c>
      <c r="R34" s="84" t="str">
        <f>IFERROR(__xludf.DUMMYFUNCTION("""COMPUTED_VALUE"""),"-")</f>
        <v>-</v>
      </c>
      <c r="S34" s="84" t="str">
        <f>IFERROR(__xludf.DUMMYFUNCTION("""COMPUTED_VALUE"""),"-")</f>
        <v>-</v>
      </c>
      <c r="T34" s="84" t="str">
        <f>IFERROR(__xludf.DUMMYFUNCTION("""COMPUTED_VALUE"""),"a")</f>
        <v>a</v>
      </c>
      <c r="U34" s="84" t="str">
        <f>IFERROR(__xludf.DUMMYFUNCTION("""COMPUTED_VALUE"""),"a")</f>
        <v>a</v>
      </c>
      <c r="V34" s="85" t="str">
        <f>IFERROR(__xludf.DUMMYFUNCTION("""COMPUTED_VALUE"""),"a")</f>
        <v>a</v>
      </c>
      <c r="W34" s="101" t="str">
        <f>IFERROR(__xludf.DUMMYFUNCTION("""COMPUTED_VALUE"""),"N")</f>
        <v>N</v>
      </c>
      <c r="X34" s="102">
        <f>IFERROR(__xludf.DUMMYFUNCTION("""COMPUTED_VALUE"""),3.125)</f>
        <v>3.125</v>
      </c>
      <c r="Y34" s="102">
        <f>IFERROR(__xludf.DUMMYFUNCTION("""COMPUTED_VALUE"""),5.0)</f>
        <v>5</v>
      </c>
      <c r="Z34" s="102" t="str">
        <f>IFERROR(__xludf.DUMMYFUNCTION("""COMPUTED_VALUE"""),"N")</f>
        <v>N</v>
      </c>
      <c r="AA34" s="102" t="str">
        <f>IFERROR(__xludf.DUMMYFUNCTION("""COMPUTED_VALUE"""),"N")</f>
        <v>N</v>
      </c>
      <c r="AB34" s="102" t="str">
        <f>IFERROR(__xludf.DUMMYFUNCTION("""COMPUTED_VALUE"""),"N")</f>
        <v>N</v>
      </c>
      <c r="AC34" s="103" t="str">
        <f>IFERROR(__xludf.DUMMYFUNCTION("""COMPUTED_VALUE"""),"N")</f>
        <v>N</v>
      </c>
      <c r="AD34" s="89" t="str">
        <f>IFERROR(__xludf.DUMMYFUNCTION("""COMPUTED_VALUE"""),"N")</f>
        <v>N</v>
      </c>
      <c r="AE34" s="83">
        <f>IFERROR(__xludf.DUMMYFUNCTION("""COMPUTED_VALUE"""),6.25)</f>
        <v>6.25</v>
      </c>
      <c r="AF34" s="84"/>
      <c r="AG34" s="84"/>
      <c r="AH34" s="85"/>
      <c r="AI34" s="92">
        <f>IFERROR(__xludf.DUMMYFUNCTION("""COMPUTED_VALUE"""),0.0)</f>
        <v>0</v>
      </c>
      <c r="AJ34" s="93">
        <f>IFERROR(__xludf.DUMMYFUNCTION("""COMPUTED_VALUE"""),4.167)</f>
        <v>4.167</v>
      </c>
      <c r="AK34" s="94">
        <f>IFERROR(__xludf.DUMMYFUNCTION("""COMPUTED_VALUE"""),0.0)</f>
        <v>0</v>
      </c>
      <c r="AL34" s="95">
        <f>IFERROR(__xludf.DUMMYFUNCTION("""COMPUTED_VALUE"""),0.407)</f>
        <v>0.407</v>
      </c>
      <c r="AM34" s="96">
        <f>IFERROR(__xludf.DUMMYFUNCTION("""COMPUTED_VALUE"""),0.0)</f>
        <v>0</v>
      </c>
      <c r="AN34" s="97"/>
      <c r="AO34" s="97"/>
      <c r="AP34" s="100"/>
      <c r="AQ34" s="100"/>
      <c r="AR34" s="97"/>
      <c r="AS34" s="97"/>
      <c r="AT34" s="100"/>
      <c r="AU34" s="100"/>
      <c r="AV34" s="97"/>
      <c r="AW34" s="97"/>
    </row>
    <row r="35" ht="18.0" customHeight="1">
      <c r="A35" s="74">
        <f>IFERROR(__xludf.DUMMYFUNCTION("""COMPUTED_VALUE"""),27.0)</f>
        <v>27</v>
      </c>
      <c r="B35" s="75" t="str">
        <f>IFERROR(__xludf.DUMMYFUNCTION("""COMPUTED_VALUE"""),"24204302")</f>
        <v>24204302</v>
      </c>
      <c r="C35" s="76" t="str">
        <f>IFERROR(__xludf.DUMMYFUNCTION("""COMPUTED_VALUE"""),"Md. Farhan Shahriar")</f>
        <v>Md. Farhan Shahriar</v>
      </c>
      <c r="D35" s="77" t="b">
        <f>IFERROR(__xludf.DUMMYFUNCTION("""COMPUTED_VALUE"""),TRUE)</f>
        <v>1</v>
      </c>
      <c r="E35" s="78">
        <f>IFERROR(__xludf.DUMMYFUNCTION("""COMPUTED_VALUE"""),2.0)</f>
        <v>2</v>
      </c>
      <c r="F35" s="79" t="str">
        <f>IFERROR(__xludf.DUMMYFUNCTION("""COMPUTED_VALUE"""),"BARRED")</f>
        <v>BARRED</v>
      </c>
      <c r="G35" s="80">
        <f>IFERROR(__xludf.DUMMYFUNCTION("""COMPUTED_VALUE"""),0.0)</f>
        <v>0</v>
      </c>
      <c r="H35" s="74">
        <f>IFERROR(__xludf.DUMMYFUNCTION("""COMPUTED_VALUE"""),1.0)</f>
        <v>1</v>
      </c>
      <c r="I35" s="74">
        <f>IFERROR(__xludf.DUMMYFUNCTION("""COMPUTED_VALUE"""),1.0)</f>
        <v>1</v>
      </c>
      <c r="J35" s="81">
        <f>IFERROR(__xludf.DUMMYFUNCTION("""COMPUTED_VALUE"""),0.0)</f>
        <v>0</v>
      </c>
      <c r="K35" s="84">
        <f>IFERROR(__xludf.DUMMYFUNCTION("""COMPUTED_VALUE"""),1.0)</f>
        <v>1</v>
      </c>
      <c r="L35" s="81">
        <f>IFERROR(__xludf.DUMMYFUNCTION("""COMPUTED_VALUE"""),1.0)</f>
        <v>1</v>
      </c>
      <c r="M35" s="81">
        <f>IFERROR(__xludf.DUMMYFUNCTION("""COMPUTED_VALUE"""),1.0)</f>
        <v>1</v>
      </c>
      <c r="N35" s="82">
        <f>IFERROR(__xludf.DUMMYFUNCTION("""COMPUTED_VALUE"""),0.0)</f>
        <v>0</v>
      </c>
      <c r="O35" s="83" t="str">
        <f>IFERROR(__xludf.DUMMYFUNCTION("""COMPUTED_VALUE"""),"A")</f>
        <v>A</v>
      </c>
      <c r="P35" s="84">
        <f>IFERROR(__xludf.DUMMYFUNCTION("""COMPUTED_VALUE"""),3.0)</f>
        <v>3</v>
      </c>
      <c r="Q35" s="84" t="str">
        <f>IFERROR(__xludf.DUMMYFUNCTION("""COMPUTED_VALUE"""),"-")</f>
        <v>-</v>
      </c>
      <c r="R35" s="84" t="str">
        <f>IFERROR(__xludf.DUMMYFUNCTION("""COMPUTED_VALUE"""),"a")</f>
        <v>a</v>
      </c>
      <c r="S35" s="84" t="str">
        <f>IFERROR(__xludf.DUMMYFUNCTION("""COMPUTED_VALUE"""),"-")</f>
        <v>-</v>
      </c>
      <c r="T35" s="84" t="str">
        <f>IFERROR(__xludf.DUMMYFUNCTION("""COMPUTED_VALUE"""),"-")</f>
        <v>-</v>
      </c>
      <c r="U35" s="84" t="str">
        <f>IFERROR(__xludf.DUMMYFUNCTION("""COMPUTED_VALUE"""),"-")</f>
        <v>-</v>
      </c>
      <c r="V35" s="85" t="str">
        <f>IFERROR(__xludf.DUMMYFUNCTION("""COMPUTED_VALUE"""),"a")</f>
        <v>a</v>
      </c>
      <c r="W35" s="101">
        <f>IFERROR(__xludf.DUMMYFUNCTION("""COMPUTED_VALUE"""),1.0)</f>
        <v>1</v>
      </c>
      <c r="X35" s="102" t="str">
        <f>IFERROR(__xludf.DUMMYFUNCTION("""COMPUTED_VALUE"""),"N")</f>
        <v>N</v>
      </c>
      <c r="Y35" s="102" t="str">
        <f>IFERROR(__xludf.DUMMYFUNCTION("""COMPUTED_VALUE"""),"N")</f>
        <v>N</v>
      </c>
      <c r="Z35" s="102" t="str">
        <f>IFERROR(__xludf.DUMMYFUNCTION("""COMPUTED_VALUE"""),"N")</f>
        <v>N</v>
      </c>
      <c r="AA35" s="102" t="str">
        <f>IFERROR(__xludf.DUMMYFUNCTION("""COMPUTED_VALUE"""),"N")</f>
        <v>N</v>
      </c>
      <c r="AB35" s="102">
        <f>IFERROR(__xludf.DUMMYFUNCTION("""COMPUTED_VALUE"""),4.166666666666667)</f>
        <v>4.166666667</v>
      </c>
      <c r="AC35" s="103" t="str">
        <f>IFERROR(__xludf.DUMMYFUNCTION("""COMPUTED_VALUE"""),"N")</f>
        <v>N</v>
      </c>
      <c r="AD35" s="89" t="str">
        <f>IFERROR(__xludf.DUMMYFUNCTION("""COMPUTED_VALUE"""),"N")</f>
        <v>N</v>
      </c>
      <c r="AE35" s="83">
        <f>IFERROR(__xludf.DUMMYFUNCTION("""COMPUTED_VALUE"""),0.1)</f>
        <v>0.1</v>
      </c>
      <c r="AF35" s="84"/>
      <c r="AG35" s="84"/>
      <c r="AH35" s="85"/>
      <c r="AI35" s="92">
        <f>IFERROR(__xludf.DUMMYFUNCTION("""COMPUTED_VALUE"""),0.0)</f>
        <v>0</v>
      </c>
      <c r="AJ35" s="93">
        <f>IFERROR(__xludf.DUMMYFUNCTION("""COMPUTED_VALUE"""),0.067)</f>
        <v>0.067</v>
      </c>
      <c r="AK35" s="94">
        <f>IFERROR(__xludf.DUMMYFUNCTION("""COMPUTED_VALUE"""),0.9)</f>
        <v>0.9</v>
      </c>
      <c r="AL35" s="95">
        <f>IFERROR(__xludf.DUMMYFUNCTION("""COMPUTED_VALUE"""),0.259)</f>
        <v>0.259</v>
      </c>
      <c r="AM35" s="96">
        <f>IFERROR(__xludf.DUMMYFUNCTION("""COMPUTED_VALUE"""),0.0)</f>
        <v>0</v>
      </c>
      <c r="AN35" s="97"/>
      <c r="AO35" s="97"/>
      <c r="AP35" s="100"/>
      <c r="AQ35" s="100"/>
      <c r="AR35" s="97"/>
      <c r="AS35" s="97"/>
      <c r="AT35" s="100"/>
      <c r="AU35" s="100"/>
      <c r="AV35" s="97"/>
      <c r="AW35" s="97"/>
    </row>
    <row r="36" ht="18.0" customHeight="1">
      <c r="A36" s="74">
        <f>IFERROR(__xludf.DUMMYFUNCTION("""COMPUTED_VALUE"""),28.0)</f>
        <v>28</v>
      </c>
      <c r="B36" s="75" t="str">
        <f>IFERROR(__xludf.DUMMYFUNCTION("""COMPUTED_VALUE"""),"24217008")</f>
        <v>24217008</v>
      </c>
      <c r="C36" s="76" t="str">
        <f>IFERROR(__xludf.DUMMYFUNCTION("""COMPUTED_VALUE"""),"Marufa Akter")</f>
        <v>Marufa Akter</v>
      </c>
      <c r="D36" s="77" t="b">
        <f>IFERROR(__xludf.DUMMYFUNCTION("""COMPUTED_VALUE"""),TRUE)</f>
        <v>1</v>
      </c>
      <c r="E36" s="78">
        <f>IFERROR(__xludf.DUMMYFUNCTION("""COMPUTED_VALUE"""),1.0)</f>
        <v>1</v>
      </c>
      <c r="F36" s="79" t="str">
        <f>IFERROR(__xludf.DUMMYFUNCTION("""COMPUTED_VALUE"""),"WARNING")</f>
        <v>WARNING</v>
      </c>
      <c r="G36" s="80">
        <f>IFERROR(__xludf.DUMMYFUNCTION("""COMPUTED_VALUE"""),1.0)</f>
        <v>1</v>
      </c>
      <c r="H36" s="74">
        <f>IFERROR(__xludf.DUMMYFUNCTION("""COMPUTED_VALUE"""),1.0)</f>
        <v>1</v>
      </c>
      <c r="I36" s="74">
        <f>IFERROR(__xludf.DUMMYFUNCTION("""COMPUTED_VALUE"""),1.0)</f>
        <v>1</v>
      </c>
      <c r="J36" s="81">
        <f>IFERROR(__xludf.DUMMYFUNCTION("""COMPUTED_VALUE"""),1.0)</f>
        <v>1</v>
      </c>
      <c r="K36" s="84">
        <f>IFERROR(__xludf.DUMMYFUNCTION("""COMPUTED_VALUE"""),1.0)</f>
        <v>1</v>
      </c>
      <c r="L36" s="81">
        <f>IFERROR(__xludf.DUMMYFUNCTION("""COMPUTED_VALUE"""),0.0)</f>
        <v>0</v>
      </c>
      <c r="M36" s="81">
        <f>IFERROR(__xludf.DUMMYFUNCTION("""COMPUTED_VALUE"""),1.0)</f>
        <v>1</v>
      </c>
      <c r="N36" s="82">
        <f>IFERROR(__xludf.DUMMYFUNCTION("""COMPUTED_VALUE"""),1.0)</f>
        <v>1</v>
      </c>
      <c r="O36" s="83" t="str">
        <f>IFERROR(__xludf.DUMMYFUNCTION("""COMPUTED_VALUE"""),"-")</f>
        <v>-</v>
      </c>
      <c r="P36" s="84">
        <f>IFERROR(__xludf.DUMMYFUNCTION("""COMPUTED_VALUE"""),4.5)</f>
        <v>4.5</v>
      </c>
      <c r="Q36" s="84" t="str">
        <f>IFERROR(__xludf.DUMMYFUNCTION("""COMPUTED_VALUE"""),"-")</f>
        <v>-</v>
      </c>
      <c r="R36" s="84" t="str">
        <f>IFERROR(__xludf.DUMMYFUNCTION("""COMPUTED_VALUE"""),"-")</f>
        <v>-</v>
      </c>
      <c r="S36" s="84" t="str">
        <f>IFERROR(__xludf.DUMMYFUNCTION("""COMPUTED_VALUE"""),"-")</f>
        <v>-</v>
      </c>
      <c r="T36" s="84" t="str">
        <f>IFERROR(__xludf.DUMMYFUNCTION("""COMPUTED_VALUE"""),"a")</f>
        <v>a</v>
      </c>
      <c r="U36" s="84" t="str">
        <f>IFERROR(__xludf.DUMMYFUNCTION("""COMPUTED_VALUE"""),"-")</f>
        <v>-</v>
      </c>
      <c r="V36" s="85" t="str">
        <f>IFERROR(__xludf.DUMMYFUNCTION("""COMPUTED_VALUE"""),"-")</f>
        <v>-</v>
      </c>
      <c r="W36" s="101">
        <f>IFERROR(__xludf.DUMMYFUNCTION("""COMPUTED_VALUE"""),5.0)</f>
        <v>5</v>
      </c>
      <c r="X36" s="102" t="str">
        <f>IFERROR(__xludf.DUMMYFUNCTION("""COMPUTED_VALUE"""),"N")</f>
        <v>N</v>
      </c>
      <c r="Y36" s="102" t="str">
        <f>IFERROR(__xludf.DUMMYFUNCTION("""COMPUTED_VALUE"""),"N")</f>
        <v>N</v>
      </c>
      <c r="Z36" s="102" t="str">
        <f>IFERROR(__xludf.DUMMYFUNCTION("""COMPUTED_VALUE"""),"N")</f>
        <v>N</v>
      </c>
      <c r="AA36" s="102" t="str">
        <f>IFERROR(__xludf.DUMMYFUNCTION("""COMPUTED_VALUE"""),"N")</f>
        <v>N</v>
      </c>
      <c r="AB36" s="102">
        <f>IFERROR(__xludf.DUMMYFUNCTION("""COMPUTED_VALUE"""),4.166666666666667)</f>
        <v>4.166666667</v>
      </c>
      <c r="AC36" s="103">
        <f>IFERROR(__xludf.DUMMYFUNCTION("""COMPUTED_VALUE"""),4.166666666666667)</f>
        <v>4.166666667</v>
      </c>
      <c r="AD36" s="89" t="str">
        <f>IFERROR(__xludf.DUMMYFUNCTION("""COMPUTED_VALUE"""),"N")</f>
        <v>N</v>
      </c>
      <c r="AE36" s="83">
        <f>IFERROR(__xludf.DUMMYFUNCTION("""COMPUTED_VALUE"""),1.75)</f>
        <v>1.75</v>
      </c>
      <c r="AF36" s="84">
        <f>IFERROR(__xludf.DUMMYFUNCTION("""COMPUTED_VALUE"""),5.0)</f>
        <v>5</v>
      </c>
      <c r="AG36" s="84">
        <f>IFERROR(__xludf.DUMMYFUNCTION("""COMPUTED_VALUE"""),8.5)</f>
        <v>8.5</v>
      </c>
      <c r="AH36" s="91">
        <f>IFERROR(__xludf.DUMMYFUNCTION("""COMPUTED_VALUE"""),1.0)</f>
        <v>1</v>
      </c>
      <c r="AI36" s="92">
        <f>IFERROR(__xludf.DUMMYFUNCTION("""COMPUTED_VALUE"""),0.0)</f>
        <v>0</v>
      </c>
      <c r="AJ36" s="93">
        <f>IFERROR(__xludf.DUMMYFUNCTION("""COMPUTED_VALUE"""),10.167)</f>
        <v>10.167</v>
      </c>
      <c r="AK36" s="94">
        <f>IFERROR(__xludf.DUMMYFUNCTION("""COMPUTED_VALUE"""),1.35)</f>
        <v>1.35</v>
      </c>
      <c r="AL36" s="95">
        <f>IFERROR(__xludf.DUMMYFUNCTION("""COMPUTED_VALUE"""),0.667)</f>
        <v>0.667</v>
      </c>
      <c r="AM36" s="96">
        <f>IFERROR(__xludf.DUMMYFUNCTION("""COMPUTED_VALUE"""),12.25)</f>
        <v>12.25</v>
      </c>
      <c r="AN36" s="97"/>
      <c r="AO36" s="97"/>
      <c r="AP36" s="100"/>
      <c r="AQ36" s="100"/>
      <c r="AR36" s="97"/>
      <c r="AS36" s="97"/>
      <c r="AT36" s="100"/>
      <c r="AU36" s="100"/>
      <c r="AV36" s="97"/>
      <c r="AW36" s="97"/>
    </row>
    <row r="37" ht="18.0" customHeight="1">
      <c r="A37" s="74">
        <f>IFERROR(__xludf.DUMMYFUNCTION("""COMPUTED_VALUE"""),29.0)</f>
        <v>29</v>
      </c>
      <c r="B37" s="75" t="str">
        <f>IFERROR(__xludf.DUMMYFUNCTION("""COMPUTED_VALUE"""),"24301548")</f>
        <v>24301548</v>
      </c>
      <c r="C37" s="76" t="str">
        <f>IFERROR(__xludf.DUMMYFUNCTION("""COMPUTED_VALUE"""),"Shahira Zaman")</f>
        <v>Shahira Zaman</v>
      </c>
      <c r="D37" s="77" t="b">
        <f>IFERROR(__xludf.DUMMYFUNCTION("""COMPUTED_VALUE"""),TRUE)</f>
        <v>1</v>
      </c>
      <c r="E37" s="78">
        <f>IFERROR(__xludf.DUMMYFUNCTION("""COMPUTED_VALUE"""),2.0)</f>
        <v>2</v>
      </c>
      <c r="F37" s="79" t="str">
        <f>IFERROR(__xludf.DUMMYFUNCTION("""COMPUTED_VALUE"""),"BARRED")</f>
        <v>BARRED</v>
      </c>
      <c r="G37" s="80">
        <f>IFERROR(__xludf.DUMMYFUNCTION("""COMPUTED_VALUE"""),0.0)</f>
        <v>0</v>
      </c>
      <c r="H37" s="74">
        <f>IFERROR(__xludf.DUMMYFUNCTION("""COMPUTED_VALUE"""),0.0)</f>
        <v>0</v>
      </c>
      <c r="I37" s="74">
        <f>IFERROR(__xludf.DUMMYFUNCTION("""COMPUTED_VALUE"""),1.0)</f>
        <v>1</v>
      </c>
      <c r="J37" s="81">
        <f>IFERROR(__xludf.DUMMYFUNCTION("""COMPUTED_VALUE"""),0.0)</f>
        <v>0</v>
      </c>
      <c r="K37" s="84" t="str">
        <f>IFERROR(__xludf.DUMMYFUNCTION("""COMPUTED_VALUE"""),"S")</f>
        <v>S</v>
      </c>
      <c r="L37" s="81">
        <f>IFERROR(__xludf.DUMMYFUNCTION("""COMPUTED_VALUE"""),1.0)</f>
        <v>1</v>
      </c>
      <c r="M37" s="81" t="str">
        <f>IFERROR(__xludf.DUMMYFUNCTION("""COMPUTED_VALUE"""),"S")</f>
        <v>S</v>
      </c>
      <c r="N37" s="82">
        <f>IFERROR(__xludf.DUMMYFUNCTION("""COMPUTED_VALUE"""),1.0)</f>
        <v>1</v>
      </c>
      <c r="O37" s="83" t="str">
        <f>IFERROR(__xludf.DUMMYFUNCTION("""COMPUTED_VALUE"""),"A")</f>
        <v>A</v>
      </c>
      <c r="P37" s="84" t="str">
        <f>IFERROR(__xludf.DUMMYFUNCTION("""COMPUTED_VALUE"""),"a")</f>
        <v>a</v>
      </c>
      <c r="Q37" s="84" t="str">
        <f>IFERROR(__xludf.DUMMYFUNCTION("""COMPUTED_VALUE"""),"-")</f>
        <v>-</v>
      </c>
      <c r="R37" s="84" t="str">
        <f>IFERROR(__xludf.DUMMYFUNCTION("""COMPUTED_VALUE"""),"a")</f>
        <v>a</v>
      </c>
      <c r="S37" s="84" t="str">
        <f>IFERROR(__xludf.DUMMYFUNCTION("""COMPUTED_VALUE"""),"s")</f>
        <v>s</v>
      </c>
      <c r="T37" s="84">
        <f>IFERROR(__xludf.DUMMYFUNCTION("""COMPUTED_VALUE"""),5.0)</f>
        <v>5</v>
      </c>
      <c r="U37" s="84" t="str">
        <f>IFERROR(__xludf.DUMMYFUNCTION("""COMPUTED_VALUE"""),"s")</f>
        <v>s</v>
      </c>
      <c r="V37" s="85" t="str">
        <f>IFERROR(__xludf.DUMMYFUNCTION("""COMPUTED_VALUE"""),"-")</f>
        <v>-</v>
      </c>
      <c r="W37" s="101">
        <f>IFERROR(__xludf.DUMMYFUNCTION("""COMPUTED_VALUE"""),4.0)</f>
        <v>4</v>
      </c>
      <c r="X37" s="102">
        <f>IFERROR(__xludf.DUMMYFUNCTION("""COMPUTED_VALUE"""),4.166666666666667)</f>
        <v>4.166666667</v>
      </c>
      <c r="Y37" s="102" t="str">
        <f>IFERROR(__xludf.DUMMYFUNCTION("""COMPUTED_VALUE"""),"N")</f>
        <v>N</v>
      </c>
      <c r="Z37" s="102" t="str">
        <f>IFERROR(__xludf.DUMMYFUNCTION("""COMPUTED_VALUE"""),"N")</f>
        <v>N</v>
      </c>
      <c r="AA37" s="102" t="str">
        <f>IFERROR(__xludf.DUMMYFUNCTION("""COMPUTED_VALUE"""),"N")</f>
        <v>N</v>
      </c>
      <c r="AB37" s="102">
        <f>IFERROR(__xludf.DUMMYFUNCTION("""COMPUTED_VALUE"""),4.166666666666667)</f>
        <v>4.166666667</v>
      </c>
      <c r="AC37" s="103">
        <f>IFERROR(__xludf.DUMMYFUNCTION("""COMPUTED_VALUE"""),3.3333333333333335)</f>
        <v>3.333333333</v>
      </c>
      <c r="AD37" s="89" t="str">
        <f>IFERROR(__xludf.DUMMYFUNCTION("""COMPUTED_VALUE"""),"N")</f>
        <v>N</v>
      </c>
      <c r="AE37" s="83">
        <f>IFERROR(__xludf.DUMMYFUNCTION("""COMPUTED_VALUE"""),6.75)</f>
        <v>6.75</v>
      </c>
      <c r="AF37" s="84">
        <f>IFERROR(__xludf.DUMMYFUNCTION("""COMPUTED_VALUE"""),3.0)</f>
        <v>3</v>
      </c>
      <c r="AG37" s="84"/>
      <c r="AH37" s="91">
        <f>IFERROR(__xludf.DUMMYFUNCTION("""COMPUTED_VALUE"""),1.0)</f>
        <v>1</v>
      </c>
      <c r="AI37" s="92">
        <f>IFERROR(__xludf.DUMMYFUNCTION("""COMPUTED_VALUE"""),0.0)</f>
        <v>0</v>
      </c>
      <c r="AJ37" s="93">
        <f>IFERROR(__xludf.DUMMYFUNCTION("""COMPUTED_VALUE"""),7.167)</f>
        <v>7.167</v>
      </c>
      <c r="AK37" s="94">
        <f>IFERROR(__xludf.DUMMYFUNCTION("""COMPUTED_VALUE"""),1.5)</f>
        <v>1.5</v>
      </c>
      <c r="AL37" s="95">
        <f>IFERROR(__xludf.DUMMYFUNCTION("""COMPUTED_VALUE"""),0.784)</f>
        <v>0.784</v>
      </c>
      <c r="AM37" s="96">
        <f>IFERROR(__xludf.DUMMYFUNCTION("""COMPUTED_VALUE"""),0.0)</f>
        <v>0</v>
      </c>
      <c r="AN37" s="97"/>
      <c r="AO37" s="97"/>
      <c r="AP37" s="100"/>
      <c r="AQ37" s="100"/>
      <c r="AR37" s="97"/>
      <c r="AS37" s="97"/>
      <c r="AT37" s="100"/>
      <c r="AU37" s="100"/>
      <c r="AV37" s="97"/>
      <c r="AW37" s="97"/>
    </row>
    <row r="38" ht="18.0" customHeight="1">
      <c r="A38" s="74">
        <f>IFERROR(__xludf.DUMMYFUNCTION("""COMPUTED_VALUE"""),34.0)</f>
        <v>34</v>
      </c>
      <c r="B38" s="75" t="str">
        <f>IFERROR(__xludf.DUMMYFUNCTION("""COMPUTED_VALUE"""),"24341029")</f>
        <v>24341029</v>
      </c>
      <c r="C38" s="76" t="str">
        <f>IFERROR(__xludf.DUMMYFUNCTION("""COMPUTED_VALUE"""),"Safwan Fadlullah Razin")</f>
        <v>Safwan Fadlullah Razin</v>
      </c>
      <c r="D38" s="77" t="b">
        <f>IFERROR(__xludf.DUMMYFUNCTION("""COMPUTED_VALUE"""),TRUE)</f>
        <v>1</v>
      </c>
      <c r="E38" s="78">
        <f>IFERROR(__xludf.DUMMYFUNCTION("""COMPUTED_VALUE"""),1.0)</f>
        <v>1</v>
      </c>
      <c r="F38" s="79" t="str">
        <f>IFERROR(__xludf.DUMMYFUNCTION("""COMPUTED_VALUE"""),"WARNING")</f>
        <v>WARNING</v>
      </c>
      <c r="G38" s="80" t="str">
        <f>IFERROR(__xludf.DUMMYFUNCTION("""COMPUTED_VALUE"""),"S")</f>
        <v>S</v>
      </c>
      <c r="H38" s="74">
        <f>IFERROR(__xludf.DUMMYFUNCTION("""COMPUTED_VALUE"""),1.0)</f>
        <v>1</v>
      </c>
      <c r="I38" s="74">
        <f>IFERROR(__xludf.DUMMYFUNCTION("""COMPUTED_VALUE"""),1.0)</f>
        <v>1</v>
      </c>
      <c r="J38" s="81">
        <f>IFERROR(__xludf.DUMMYFUNCTION("""COMPUTED_VALUE"""),0.0)</f>
        <v>0</v>
      </c>
      <c r="K38" s="84">
        <f>IFERROR(__xludf.DUMMYFUNCTION("""COMPUTED_VALUE"""),1.0)</f>
        <v>1</v>
      </c>
      <c r="L38" s="81">
        <f>IFERROR(__xludf.DUMMYFUNCTION("""COMPUTED_VALUE"""),1.0)</f>
        <v>1</v>
      </c>
      <c r="M38" s="81">
        <f>IFERROR(__xludf.DUMMYFUNCTION("""COMPUTED_VALUE"""),1.0)</f>
        <v>1</v>
      </c>
      <c r="N38" s="82">
        <f>IFERROR(__xludf.DUMMYFUNCTION("""COMPUTED_VALUE"""),1.0)</f>
        <v>1</v>
      </c>
      <c r="O38" s="83" t="str">
        <f>IFERROR(__xludf.DUMMYFUNCTION("""COMPUTED_VALUE"""),"S")</f>
        <v>S</v>
      </c>
      <c r="P38" s="84">
        <f>IFERROR(__xludf.DUMMYFUNCTION("""COMPUTED_VALUE"""),3.0)</f>
        <v>3</v>
      </c>
      <c r="Q38" s="84" t="str">
        <f>IFERROR(__xludf.DUMMYFUNCTION("""COMPUTED_VALUE"""),"-")</f>
        <v>-</v>
      </c>
      <c r="R38" s="84" t="str">
        <f>IFERROR(__xludf.DUMMYFUNCTION("""COMPUTED_VALUE"""),"a")</f>
        <v>a</v>
      </c>
      <c r="S38" s="84" t="str">
        <f>IFERROR(__xludf.DUMMYFUNCTION("""COMPUTED_VALUE"""),"-")</f>
        <v>-</v>
      </c>
      <c r="T38" s="84">
        <f>IFERROR(__xludf.DUMMYFUNCTION("""COMPUTED_VALUE"""),5.0)</f>
        <v>5</v>
      </c>
      <c r="U38" s="84" t="str">
        <f>IFERROR(__xludf.DUMMYFUNCTION("""COMPUTED_VALUE"""),"-")</f>
        <v>-</v>
      </c>
      <c r="V38" s="85" t="str">
        <f>IFERROR(__xludf.DUMMYFUNCTION("""COMPUTED_VALUE"""),"-")</f>
        <v>-</v>
      </c>
      <c r="W38" s="101">
        <f>IFERROR(__xludf.DUMMYFUNCTION("""COMPUTED_VALUE"""),5.0)</f>
        <v>5</v>
      </c>
      <c r="X38" s="102">
        <f>IFERROR(__xludf.DUMMYFUNCTION("""COMPUTED_VALUE"""),3.3333333333333335)</f>
        <v>3.333333333</v>
      </c>
      <c r="Y38" s="102" t="str">
        <f>IFERROR(__xludf.DUMMYFUNCTION("""COMPUTED_VALUE"""),"N")</f>
        <v>N</v>
      </c>
      <c r="Z38" s="102" t="str">
        <f>IFERROR(__xludf.DUMMYFUNCTION("""COMPUTED_VALUE"""),"N")</f>
        <v>N</v>
      </c>
      <c r="AA38" s="102">
        <f>IFERROR(__xludf.DUMMYFUNCTION("""COMPUTED_VALUE"""),1.4285714285714286)</f>
        <v>1.428571429</v>
      </c>
      <c r="AB38" s="102" t="str">
        <f>IFERROR(__xludf.DUMMYFUNCTION("""COMPUTED_VALUE"""),"N")</f>
        <v>N</v>
      </c>
      <c r="AC38" s="103" t="str">
        <f>IFERROR(__xludf.DUMMYFUNCTION("""COMPUTED_VALUE"""),"N")</f>
        <v>N</v>
      </c>
      <c r="AD38" s="89" t="str">
        <f>IFERROR(__xludf.DUMMYFUNCTION("""COMPUTED_VALUE"""),"N")</f>
        <v>N</v>
      </c>
      <c r="AE38" s="83">
        <f>IFERROR(__xludf.DUMMYFUNCTION("""COMPUTED_VALUE"""),1.75)</f>
        <v>1.75</v>
      </c>
      <c r="AF38" s="84">
        <f>IFERROR(__xludf.DUMMYFUNCTION("""COMPUTED_VALUE"""),8.0)</f>
        <v>8</v>
      </c>
      <c r="AG38" s="84">
        <f>IFERROR(__xludf.DUMMYFUNCTION("""COMPUTED_VALUE"""),9.25)</f>
        <v>9.25</v>
      </c>
      <c r="AH38" s="85"/>
      <c r="AI38" s="92">
        <f>IFERROR(__xludf.DUMMYFUNCTION("""COMPUTED_VALUE"""),0.0)</f>
        <v>0</v>
      </c>
      <c r="AJ38" s="93">
        <f>IFERROR(__xludf.DUMMYFUNCTION("""COMPUTED_VALUE"""),12.667)</f>
        <v>12.667</v>
      </c>
      <c r="AK38" s="94">
        <f>IFERROR(__xludf.DUMMYFUNCTION("""COMPUTED_VALUE"""),2.4)</f>
        <v>2.4</v>
      </c>
      <c r="AL38" s="95">
        <f>IFERROR(__xludf.DUMMYFUNCTION("""COMPUTED_VALUE"""),0.489)</f>
        <v>0.489</v>
      </c>
      <c r="AM38" s="96">
        <f>IFERROR(__xludf.DUMMYFUNCTION("""COMPUTED_VALUE"""),15.75)</f>
        <v>15.75</v>
      </c>
      <c r="AN38" s="97"/>
      <c r="AO38" s="97"/>
      <c r="AP38" s="100"/>
      <c r="AQ38" s="100"/>
      <c r="AR38" s="97"/>
      <c r="AS38" s="97"/>
      <c r="AT38" s="100"/>
      <c r="AU38" s="100"/>
      <c r="AV38" s="97"/>
      <c r="AW38" s="97"/>
    </row>
    <row r="39" ht="18.0" customHeight="1">
      <c r="A39" s="74">
        <f>IFERROR(__xludf.DUMMYFUNCTION("""COMPUTED_VALUE"""),30.0)</f>
        <v>30</v>
      </c>
      <c r="B39" s="75" t="str">
        <f>IFERROR(__xludf.DUMMYFUNCTION("""COMPUTED_VALUE"""),"1000060077")</f>
        <v>1000060077</v>
      </c>
      <c r="C39" s="76" t="str">
        <f>IFERROR(__xludf.DUMMYFUNCTION("""COMPUTED_VALUE"""),"Abdullah Abu Raihan")</f>
        <v>Abdullah Abu Raihan</v>
      </c>
      <c r="D39" s="77" t="b">
        <f>IFERROR(__xludf.DUMMYFUNCTION("""COMPUTED_VALUE"""),TRUE)</f>
        <v>1</v>
      </c>
      <c r="E39" s="78">
        <f>IFERROR(__xludf.DUMMYFUNCTION("""COMPUTED_VALUE"""),0.0)</f>
        <v>0</v>
      </c>
      <c r="F39" s="79" t="str">
        <f>IFERROR(__xludf.DUMMYFUNCTION("""COMPUTED_VALUE"""),"OKAY")</f>
        <v>OKAY</v>
      </c>
      <c r="G39" s="80">
        <f>IFERROR(__xludf.DUMMYFUNCTION("""COMPUTED_VALUE"""),1.0)</f>
        <v>1</v>
      </c>
      <c r="H39" s="74">
        <f>IFERROR(__xludf.DUMMYFUNCTION("""COMPUTED_VALUE"""),1.0)</f>
        <v>1</v>
      </c>
      <c r="I39" s="74">
        <f>IFERROR(__xludf.DUMMYFUNCTION("""COMPUTED_VALUE"""),1.0)</f>
        <v>1</v>
      </c>
      <c r="J39" s="81">
        <f>IFERROR(__xludf.DUMMYFUNCTION("""COMPUTED_VALUE"""),1.0)</f>
        <v>1</v>
      </c>
      <c r="K39" s="84">
        <f>IFERROR(__xludf.DUMMYFUNCTION("""COMPUTED_VALUE"""),1.0)</f>
        <v>1</v>
      </c>
      <c r="L39" s="81">
        <f>IFERROR(__xludf.DUMMYFUNCTION("""COMPUTED_VALUE"""),1.0)</f>
        <v>1</v>
      </c>
      <c r="M39" s="81">
        <f>IFERROR(__xludf.DUMMYFUNCTION("""COMPUTED_VALUE"""),1.0)</f>
        <v>1</v>
      </c>
      <c r="N39" s="82">
        <f>IFERROR(__xludf.DUMMYFUNCTION("""COMPUTED_VALUE"""),1.0)</f>
        <v>1</v>
      </c>
      <c r="O39" s="83" t="str">
        <f>IFERROR(__xludf.DUMMYFUNCTION("""COMPUTED_VALUE"""),"-")</f>
        <v>-</v>
      </c>
      <c r="P39" s="84">
        <f>IFERROR(__xludf.DUMMYFUNCTION("""COMPUTED_VALUE"""),5.0)</f>
        <v>5</v>
      </c>
      <c r="Q39" s="84" t="str">
        <f>IFERROR(__xludf.DUMMYFUNCTION("""COMPUTED_VALUE"""),"-")</f>
        <v>-</v>
      </c>
      <c r="R39" s="84" t="str">
        <f>IFERROR(__xludf.DUMMYFUNCTION("""COMPUTED_VALUE"""),"-")</f>
        <v>-</v>
      </c>
      <c r="S39" s="84" t="str">
        <f>IFERROR(__xludf.DUMMYFUNCTION("""COMPUTED_VALUE"""),"-")</f>
        <v>-</v>
      </c>
      <c r="T39" s="84">
        <f>IFERROR(__xludf.DUMMYFUNCTION("""COMPUTED_VALUE"""),5.0)</f>
        <v>5</v>
      </c>
      <c r="U39" s="84" t="str">
        <f>IFERROR(__xludf.DUMMYFUNCTION("""COMPUTED_VALUE"""),"-")</f>
        <v>-</v>
      </c>
      <c r="V39" s="85" t="str">
        <f>IFERROR(__xludf.DUMMYFUNCTION("""COMPUTED_VALUE"""),"-")</f>
        <v>-</v>
      </c>
      <c r="W39" s="101" t="str">
        <f>IFERROR(__xludf.DUMMYFUNCTION("""COMPUTED_VALUE"""),"P")</f>
        <v>P</v>
      </c>
      <c r="X39" s="102">
        <f>IFERROR(__xludf.DUMMYFUNCTION("""COMPUTED_VALUE"""),4.958333333333333)</f>
        <v>4.958333333</v>
      </c>
      <c r="Y39" s="102" t="str">
        <f>IFERROR(__xludf.DUMMYFUNCTION("""COMPUTED_VALUE"""),"N")</f>
        <v>N</v>
      </c>
      <c r="Z39" s="102" t="str">
        <f>IFERROR(__xludf.DUMMYFUNCTION("""COMPUTED_VALUE"""),"N")</f>
        <v>N</v>
      </c>
      <c r="AA39" s="102" t="str">
        <f>IFERROR(__xludf.DUMMYFUNCTION("""COMPUTED_VALUE"""),"N")</f>
        <v>N</v>
      </c>
      <c r="AB39" s="102">
        <f>IFERROR(__xludf.DUMMYFUNCTION("""COMPUTED_VALUE"""),0.8333333333333334)</f>
        <v>0.8333333333</v>
      </c>
      <c r="AC39" s="103">
        <f>IFERROR(__xludf.DUMMYFUNCTION("""COMPUTED_VALUE"""),5.0)</f>
        <v>5</v>
      </c>
      <c r="AD39" s="89" t="str">
        <f>IFERROR(__xludf.DUMMYFUNCTION("""COMPUTED_VALUE"""),"N")</f>
        <v>N</v>
      </c>
      <c r="AE39" s="83">
        <f>IFERROR(__xludf.DUMMYFUNCTION("""COMPUTED_VALUE"""),5.5)</f>
        <v>5.5</v>
      </c>
      <c r="AF39" s="84">
        <f>IFERROR(__xludf.DUMMYFUNCTION("""COMPUTED_VALUE"""),1.0)</f>
        <v>1</v>
      </c>
      <c r="AG39" s="84">
        <f>IFERROR(__xludf.DUMMYFUNCTION("""COMPUTED_VALUE"""),10.0)</f>
        <v>10</v>
      </c>
      <c r="AH39" s="91">
        <f>IFERROR(__xludf.DUMMYFUNCTION("""COMPUTED_VALUE"""),2.0)</f>
        <v>2</v>
      </c>
      <c r="AI39" s="92">
        <f>IFERROR(__xludf.DUMMYFUNCTION("""COMPUTED_VALUE"""),0.0)</f>
        <v>0</v>
      </c>
      <c r="AJ39" s="93">
        <f>IFERROR(__xludf.DUMMYFUNCTION("""COMPUTED_VALUE"""),11.667)</f>
        <v>11.667</v>
      </c>
      <c r="AK39" s="94">
        <f>IFERROR(__xludf.DUMMYFUNCTION("""COMPUTED_VALUE"""),3.0)</f>
        <v>3</v>
      </c>
      <c r="AL39" s="95">
        <f>IFERROR(__xludf.DUMMYFUNCTION("""COMPUTED_VALUE"""),0.54)</f>
        <v>0.54</v>
      </c>
      <c r="AM39" s="96">
        <f>IFERROR(__xludf.DUMMYFUNCTION("""COMPUTED_VALUE"""),15.25)</f>
        <v>15.25</v>
      </c>
      <c r="AN39" s="97"/>
      <c r="AO39" s="97"/>
      <c r="AP39" s="100"/>
      <c r="AQ39" s="100"/>
      <c r="AR39" s="97"/>
      <c r="AS39" s="97"/>
      <c r="AT39" s="100"/>
      <c r="AU39" s="100"/>
      <c r="AV39" s="97"/>
      <c r="AW39" s="97"/>
    </row>
    <row r="40" ht="18.0" customHeight="1">
      <c r="A40" s="74">
        <f>IFERROR(__xludf.DUMMYFUNCTION("""COMPUTED_VALUE"""),31.0)</f>
        <v>31</v>
      </c>
      <c r="B40" s="75" t="str">
        <f>IFERROR(__xludf.DUMMYFUNCTION("""COMPUTED_VALUE"""),"1000060418")</f>
        <v>1000060418</v>
      </c>
      <c r="C40" s="76" t="str">
        <f>IFERROR(__xludf.DUMMYFUNCTION("""COMPUTED_VALUE"""),"Rafsan Chowdhury")</f>
        <v>Rafsan Chowdhury</v>
      </c>
      <c r="D40" s="77" t="b">
        <f>IFERROR(__xludf.DUMMYFUNCTION("""COMPUTED_VALUE"""),TRUE)</f>
        <v>1</v>
      </c>
      <c r="E40" s="78">
        <f>IFERROR(__xludf.DUMMYFUNCTION("""COMPUTED_VALUE"""),0.0)</f>
        <v>0</v>
      </c>
      <c r="F40" s="79" t="str">
        <f>IFERROR(__xludf.DUMMYFUNCTION("""COMPUTED_VALUE"""),"OKAY")</f>
        <v>OKAY</v>
      </c>
      <c r="G40" s="80">
        <f>IFERROR(__xludf.DUMMYFUNCTION("""COMPUTED_VALUE"""),1.0)</f>
        <v>1</v>
      </c>
      <c r="H40" s="74">
        <f>IFERROR(__xludf.DUMMYFUNCTION("""COMPUTED_VALUE"""),1.0)</f>
        <v>1</v>
      </c>
      <c r="I40" s="74">
        <f>IFERROR(__xludf.DUMMYFUNCTION("""COMPUTED_VALUE"""),1.0)</f>
        <v>1</v>
      </c>
      <c r="J40" s="81">
        <f>IFERROR(__xludf.DUMMYFUNCTION("""COMPUTED_VALUE"""),1.0)</f>
        <v>1</v>
      </c>
      <c r="K40" s="84">
        <f>IFERROR(__xludf.DUMMYFUNCTION("""COMPUTED_VALUE"""),1.0)</f>
        <v>1</v>
      </c>
      <c r="L40" s="81">
        <f>IFERROR(__xludf.DUMMYFUNCTION("""COMPUTED_VALUE"""),1.0)</f>
        <v>1</v>
      </c>
      <c r="M40" s="81">
        <f>IFERROR(__xludf.DUMMYFUNCTION("""COMPUTED_VALUE"""),1.0)</f>
        <v>1</v>
      </c>
      <c r="N40" s="82">
        <f>IFERROR(__xludf.DUMMYFUNCTION("""COMPUTED_VALUE"""),1.0)</f>
        <v>1</v>
      </c>
      <c r="O40" s="83" t="str">
        <f>IFERROR(__xludf.DUMMYFUNCTION("""COMPUTED_VALUE"""),"-")</f>
        <v>-</v>
      </c>
      <c r="P40" s="84">
        <f>IFERROR(__xludf.DUMMYFUNCTION("""COMPUTED_VALUE"""),5.0)</f>
        <v>5</v>
      </c>
      <c r="Q40" s="84" t="str">
        <f>IFERROR(__xludf.DUMMYFUNCTION("""COMPUTED_VALUE"""),"-")</f>
        <v>-</v>
      </c>
      <c r="R40" s="84" t="str">
        <f>IFERROR(__xludf.DUMMYFUNCTION("""COMPUTED_VALUE"""),"-")</f>
        <v>-</v>
      </c>
      <c r="S40" s="84" t="str">
        <f>IFERROR(__xludf.DUMMYFUNCTION("""COMPUTED_VALUE"""),"-")</f>
        <v>-</v>
      </c>
      <c r="T40" s="84">
        <f>IFERROR(__xludf.DUMMYFUNCTION("""COMPUTED_VALUE"""),5.0)</f>
        <v>5</v>
      </c>
      <c r="U40" s="84" t="str">
        <f>IFERROR(__xludf.DUMMYFUNCTION("""COMPUTED_VALUE"""),"-")</f>
        <v>-</v>
      </c>
      <c r="V40" s="85" t="str">
        <f>IFERROR(__xludf.DUMMYFUNCTION("""COMPUTED_VALUE"""),"-")</f>
        <v>-</v>
      </c>
      <c r="W40" s="101">
        <f>IFERROR(__xludf.DUMMYFUNCTION("""COMPUTED_VALUE"""),4.0)</f>
        <v>4</v>
      </c>
      <c r="X40" s="102">
        <f>IFERROR(__xludf.DUMMYFUNCTION("""COMPUTED_VALUE"""),5.0)</f>
        <v>5</v>
      </c>
      <c r="Y40" s="102">
        <f>IFERROR(__xludf.DUMMYFUNCTION("""COMPUTED_VALUE"""),3.3333333333333335)</f>
        <v>3.333333333</v>
      </c>
      <c r="Z40" s="102">
        <f>IFERROR(__xludf.DUMMYFUNCTION("""COMPUTED_VALUE"""),1.6666666666666667)</f>
        <v>1.666666667</v>
      </c>
      <c r="AA40" s="102">
        <f>IFERROR(__xludf.DUMMYFUNCTION("""COMPUTED_VALUE"""),4.642857142857143)</f>
        <v>4.642857143</v>
      </c>
      <c r="AB40" s="102">
        <f>IFERROR(__xludf.DUMMYFUNCTION("""COMPUTED_VALUE"""),5.0)</f>
        <v>5</v>
      </c>
      <c r="AC40" s="103" t="str">
        <f>IFERROR(__xludf.DUMMYFUNCTION("""COMPUTED_VALUE"""),"N")</f>
        <v>N</v>
      </c>
      <c r="AD40" s="89" t="str">
        <f>IFERROR(__xludf.DUMMYFUNCTION("""COMPUTED_VALUE"""),"N")</f>
        <v>N</v>
      </c>
      <c r="AE40" s="83">
        <f>IFERROR(__xludf.DUMMYFUNCTION("""COMPUTED_VALUE"""),7.75)</f>
        <v>7.75</v>
      </c>
      <c r="AF40" s="84">
        <f>IFERROR(__xludf.DUMMYFUNCTION("""COMPUTED_VALUE"""),5.5)</f>
        <v>5.5</v>
      </c>
      <c r="AG40" s="84">
        <f>IFERROR(__xludf.DUMMYFUNCTION("""COMPUTED_VALUE"""),9.75)</f>
        <v>9.75</v>
      </c>
      <c r="AH40" s="91">
        <f>IFERROR(__xludf.DUMMYFUNCTION("""COMPUTED_VALUE"""),1.0)</f>
        <v>1</v>
      </c>
      <c r="AI40" s="92">
        <f>IFERROR(__xludf.DUMMYFUNCTION("""COMPUTED_VALUE"""),0.0)</f>
        <v>0</v>
      </c>
      <c r="AJ40" s="93">
        <f>IFERROR(__xludf.DUMMYFUNCTION("""COMPUTED_VALUE"""),15.334)</f>
        <v>15.334</v>
      </c>
      <c r="AK40" s="94">
        <f>IFERROR(__xludf.DUMMYFUNCTION("""COMPUTED_VALUE"""),3.0)</f>
        <v>3</v>
      </c>
      <c r="AL40" s="95">
        <f>IFERROR(__xludf.DUMMYFUNCTION("""COMPUTED_VALUE"""),1.183)</f>
        <v>1.183</v>
      </c>
      <c r="AM40" s="96">
        <f>IFERROR(__xludf.DUMMYFUNCTION("""COMPUTED_VALUE"""),19.75)</f>
        <v>19.75</v>
      </c>
      <c r="AN40" s="97"/>
      <c r="AO40" s="97"/>
      <c r="AP40" s="100"/>
      <c r="AQ40" s="100"/>
      <c r="AR40" s="97"/>
      <c r="AS40" s="97"/>
      <c r="AT40" s="100"/>
      <c r="AU40" s="100"/>
      <c r="AV40" s="97"/>
      <c r="AW40" s="97"/>
    </row>
    <row r="41" ht="18.0" customHeight="1">
      <c r="A41" s="74">
        <f>IFERROR(__xludf.DUMMYFUNCTION("""COMPUTED_VALUE"""),32.0)</f>
        <v>32</v>
      </c>
      <c r="B41" s="75" t="str">
        <f>IFERROR(__xludf.DUMMYFUNCTION("""COMPUTED_VALUE"""),"20111008")</f>
        <v>20111008</v>
      </c>
      <c r="C41" s="76" t="str">
        <f>IFERROR(__xludf.DUMMYFUNCTION("""COMPUTED_VALUE"""),"Anika Tabassum Richa")</f>
        <v>Anika Tabassum Richa</v>
      </c>
      <c r="D41" s="77" t="b">
        <f>IFERROR(__xludf.DUMMYFUNCTION("""COMPUTED_VALUE"""),FALSE)</f>
        <v>0</v>
      </c>
      <c r="E41" s="78">
        <f>IFERROR(__xludf.DUMMYFUNCTION("""COMPUTED_VALUE"""),4.0)</f>
        <v>4</v>
      </c>
      <c r="F41" s="79" t="str">
        <f>IFERROR(__xludf.DUMMYFUNCTION("""COMPUTED_VALUE"""),"BARRED")</f>
        <v>BARRED</v>
      </c>
      <c r="G41" s="80">
        <f>IFERROR(__xludf.DUMMYFUNCTION("""COMPUTED_VALUE"""),1.0)</f>
        <v>1</v>
      </c>
      <c r="H41" s="74">
        <f>IFERROR(__xludf.DUMMYFUNCTION("""COMPUTED_VALUE"""),1.0)</f>
        <v>1</v>
      </c>
      <c r="I41" s="74">
        <f>IFERROR(__xludf.DUMMYFUNCTION("""COMPUTED_VALUE"""),1.0)</f>
        <v>1</v>
      </c>
      <c r="J41" s="81">
        <f>IFERROR(__xludf.DUMMYFUNCTION("""COMPUTED_VALUE"""),1.0)</f>
        <v>1</v>
      </c>
      <c r="K41" s="84">
        <f>IFERROR(__xludf.DUMMYFUNCTION("""COMPUTED_VALUE"""),0.0)</f>
        <v>0</v>
      </c>
      <c r="L41" s="81">
        <f>IFERROR(__xludf.DUMMYFUNCTION("""COMPUTED_VALUE"""),0.0)</f>
        <v>0</v>
      </c>
      <c r="M41" s="81">
        <f>IFERROR(__xludf.DUMMYFUNCTION("""COMPUTED_VALUE"""),0.0)</f>
        <v>0</v>
      </c>
      <c r="N41" s="82">
        <f>IFERROR(__xludf.DUMMYFUNCTION("""COMPUTED_VALUE"""),0.0)</f>
        <v>0</v>
      </c>
      <c r="O41" s="83" t="str">
        <f>IFERROR(__xludf.DUMMYFUNCTION("""COMPUTED_VALUE"""),"-")</f>
        <v>-</v>
      </c>
      <c r="P41" s="84">
        <f>IFERROR(__xludf.DUMMYFUNCTION("""COMPUTED_VALUE"""),3.0)</f>
        <v>3</v>
      </c>
      <c r="Q41" s="84" t="str">
        <f>IFERROR(__xludf.DUMMYFUNCTION("""COMPUTED_VALUE"""),"-")</f>
        <v>-</v>
      </c>
      <c r="R41" s="84" t="str">
        <f>IFERROR(__xludf.DUMMYFUNCTION("""COMPUTED_VALUE"""),"-")</f>
        <v>-</v>
      </c>
      <c r="S41" s="84" t="str">
        <f>IFERROR(__xludf.DUMMYFUNCTION("""COMPUTED_VALUE"""),"a")</f>
        <v>a</v>
      </c>
      <c r="T41" s="84" t="str">
        <f>IFERROR(__xludf.DUMMYFUNCTION("""COMPUTED_VALUE"""),"a")</f>
        <v>a</v>
      </c>
      <c r="U41" s="84" t="str">
        <f>IFERROR(__xludf.DUMMYFUNCTION("""COMPUTED_VALUE"""),"a")</f>
        <v>a</v>
      </c>
      <c r="V41" s="85" t="str">
        <f>IFERROR(__xludf.DUMMYFUNCTION("""COMPUTED_VALUE"""),"a")</f>
        <v>a</v>
      </c>
      <c r="W41" s="101" t="str">
        <f>IFERROR(__xludf.DUMMYFUNCTION("""COMPUTED_VALUE"""),"N")</f>
        <v>N</v>
      </c>
      <c r="X41" s="102" t="str">
        <f>IFERROR(__xludf.DUMMYFUNCTION("""COMPUTED_VALUE"""),"N")</f>
        <v>N</v>
      </c>
      <c r="Y41" s="102" t="str">
        <f>IFERROR(__xludf.DUMMYFUNCTION("""COMPUTED_VALUE"""),"N")</f>
        <v>N</v>
      </c>
      <c r="Z41" s="102" t="str">
        <f>IFERROR(__xludf.DUMMYFUNCTION("""COMPUTED_VALUE"""),"N")</f>
        <v>N</v>
      </c>
      <c r="AA41" s="102" t="str">
        <f>IFERROR(__xludf.DUMMYFUNCTION("""COMPUTED_VALUE"""),"N")</f>
        <v>N</v>
      </c>
      <c r="AB41" s="102" t="str">
        <f>IFERROR(__xludf.DUMMYFUNCTION("""COMPUTED_VALUE"""),"N")</f>
        <v>N</v>
      </c>
      <c r="AC41" s="103" t="str">
        <f>IFERROR(__xludf.DUMMYFUNCTION("""COMPUTED_VALUE"""),"N")</f>
        <v>N</v>
      </c>
      <c r="AD41" s="89" t="str">
        <f>IFERROR(__xludf.DUMMYFUNCTION("""COMPUTED_VALUE"""),"N")</f>
        <v>N</v>
      </c>
      <c r="AE41" s="83">
        <f>IFERROR(__xludf.DUMMYFUNCTION("""COMPUTED_VALUE"""),0.25)</f>
        <v>0.25</v>
      </c>
      <c r="AF41" s="84"/>
      <c r="AG41" s="84">
        <f>IFERROR(__xludf.DUMMYFUNCTION("""COMPUTED_VALUE"""),0.01)</f>
        <v>0.01</v>
      </c>
      <c r="AH41" s="91">
        <f>IFERROR(__xludf.DUMMYFUNCTION("""COMPUTED_VALUE"""),1.0)</f>
        <v>1</v>
      </c>
      <c r="AI41" s="92">
        <f>IFERROR(__xludf.DUMMYFUNCTION("""COMPUTED_VALUE"""),0.0)</f>
        <v>0</v>
      </c>
      <c r="AJ41" s="93">
        <f>IFERROR(__xludf.DUMMYFUNCTION("""COMPUTED_VALUE"""),0.84)</f>
        <v>0.84</v>
      </c>
      <c r="AK41" s="94">
        <f>IFERROR(__xludf.DUMMYFUNCTION("""COMPUTED_VALUE"""),0.9)</f>
        <v>0.9</v>
      </c>
      <c r="AL41" s="95">
        <f>IFERROR(__xludf.DUMMYFUNCTION("""COMPUTED_VALUE"""),0.0)</f>
        <v>0</v>
      </c>
      <c r="AM41" s="96">
        <f>IFERROR(__xludf.DUMMYFUNCTION("""COMPUTED_VALUE"""),0.0)</f>
        <v>0</v>
      </c>
      <c r="AN41" s="97"/>
      <c r="AO41" s="97"/>
      <c r="AP41" s="100"/>
      <c r="AQ41" s="100"/>
      <c r="AR41" s="97"/>
      <c r="AS41" s="97"/>
      <c r="AT41" s="100"/>
      <c r="AU41" s="100"/>
      <c r="AV41" s="97"/>
      <c r="AW41" s="97"/>
    </row>
    <row r="42" ht="18.0" customHeight="1">
      <c r="A42" s="74">
        <f>IFERROR(__xludf.DUMMYFUNCTION("""COMPUTED_VALUE"""),33.0)</f>
        <v>33</v>
      </c>
      <c r="B42" s="75" t="str">
        <f>IFERROR(__xludf.DUMMYFUNCTION("""COMPUTED_VALUE"""),"1000057632")</f>
        <v>1000057632</v>
      </c>
      <c r="C42" s="76" t="str">
        <f>IFERROR(__xludf.DUMMYFUNCTION("""COMPUTED_VALUE"""),"Kahiruddin Kaokab Mahathir - 17")</f>
        <v>Kahiruddin Kaokab Mahathir - 17</v>
      </c>
      <c r="D42" s="77" t="b">
        <f>IFERROR(__xludf.DUMMYFUNCTION("""COMPUTED_VALUE"""),TRUE)</f>
        <v>1</v>
      </c>
      <c r="E42" s="78">
        <f>IFERROR(__xludf.DUMMYFUNCTION("""COMPUTED_VALUE"""),0.0)</f>
        <v>0</v>
      </c>
      <c r="F42" s="79" t="str">
        <f>IFERROR(__xludf.DUMMYFUNCTION("""COMPUTED_VALUE"""),"OKAY")</f>
        <v>OKAY</v>
      </c>
      <c r="G42" s="80">
        <f>IFERROR(__xludf.DUMMYFUNCTION("""COMPUTED_VALUE"""),1.0)</f>
        <v>1</v>
      </c>
      <c r="H42" s="74">
        <f>IFERROR(__xludf.DUMMYFUNCTION("""COMPUTED_VALUE"""),1.0)</f>
        <v>1</v>
      </c>
      <c r="I42" s="74">
        <f>IFERROR(__xludf.DUMMYFUNCTION("""COMPUTED_VALUE"""),1.0)</f>
        <v>1</v>
      </c>
      <c r="J42" s="81">
        <f>IFERROR(__xludf.DUMMYFUNCTION("""COMPUTED_VALUE"""),1.0)</f>
        <v>1</v>
      </c>
      <c r="K42" s="84">
        <f>IFERROR(__xludf.DUMMYFUNCTION("""COMPUTED_VALUE"""),1.0)</f>
        <v>1</v>
      </c>
      <c r="L42" s="81">
        <f>IFERROR(__xludf.DUMMYFUNCTION("""COMPUTED_VALUE"""),1.0)</f>
        <v>1</v>
      </c>
      <c r="M42" s="81">
        <f>IFERROR(__xludf.DUMMYFUNCTION("""COMPUTED_VALUE"""),1.0)</f>
        <v>1</v>
      </c>
      <c r="N42" s="82">
        <f>IFERROR(__xludf.DUMMYFUNCTION("""COMPUTED_VALUE"""),1.0)</f>
        <v>1</v>
      </c>
      <c r="O42" s="83" t="str">
        <f>IFERROR(__xludf.DUMMYFUNCTION("""COMPUTED_VALUE"""),"-")</f>
        <v>-</v>
      </c>
      <c r="P42" s="84">
        <f>IFERROR(__xludf.DUMMYFUNCTION("""COMPUTED_VALUE"""),5.0)</f>
        <v>5</v>
      </c>
      <c r="Q42" s="84" t="str">
        <f>IFERROR(__xludf.DUMMYFUNCTION("""COMPUTED_VALUE"""),"-")</f>
        <v>-</v>
      </c>
      <c r="R42" s="84" t="str">
        <f>IFERROR(__xludf.DUMMYFUNCTION("""COMPUTED_VALUE"""),"-")</f>
        <v>-</v>
      </c>
      <c r="S42" s="84" t="str">
        <f>IFERROR(__xludf.DUMMYFUNCTION("""COMPUTED_VALUE"""),"-")</f>
        <v>-</v>
      </c>
      <c r="T42" s="84">
        <f>IFERROR(__xludf.DUMMYFUNCTION("""COMPUTED_VALUE"""),5.0)</f>
        <v>5</v>
      </c>
      <c r="U42" s="84" t="str">
        <f>IFERROR(__xludf.DUMMYFUNCTION("""COMPUTED_VALUE"""),"-")</f>
        <v>-</v>
      </c>
      <c r="V42" s="85" t="str">
        <f>IFERROR(__xludf.DUMMYFUNCTION("""COMPUTED_VALUE"""),"-")</f>
        <v>-</v>
      </c>
      <c r="W42" s="101">
        <f>IFERROR(__xludf.DUMMYFUNCTION("""COMPUTED_VALUE"""),5.0)</f>
        <v>5</v>
      </c>
      <c r="X42" s="102">
        <f>IFERROR(__xludf.DUMMYFUNCTION("""COMPUTED_VALUE"""),5.0)</f>
        <v>5</v>
      </c>
      <c r="Y42" s="102">
        <f>IFERROR(__xludf.DUMMYFUNCTION("""COMPUTED_VALUE"""),3.3333333333333335)</f>
        <v>3.333333333</v>
      </c>
      <c r="Z42" s="102">
        <f>IFERROR(__xludf.DUMMYFUNCTION("""COMPUTED_VALUE"""),3.3333333333333335)</f>
        <v>3.333333333</v>
      </c>
      <c r="AA42" s="102">
        <f>IFERROR(__xludf.DUMMYFUNCTION("""COMPUTED_VALUE"""),3.5714285714285716)</f>
        <v>3.571428571</v>
      </c>
      <c r="AB42" s="102">
        <f>IFERROR(__xludf.DUMMYFUNCTION("""COMPUTED_VALUE"""),5.0)</f>
        <v>5</v>
      </c>
      <c r="AC42" s="103">
        <f>IFERROR(__xludf.DUMMYFUNCTION("""COMPUTED_VALUE"""),4.166666666666667)</f>
        <v>4.166666667</v>
      </c>
      <c r="AD42" s="89">
        <f>IFERROR(__xludf.DUMMYFUNCTION("""COMPUTED_VALUE"""),3.3333333333333335)</f>
        <v>3.333333333</v>
      </c>
      <c r="AE42" s="83">
        <f>IFERROR(__xludf.DUMMYFUNCTION("""COMPUTED_VALUE"""),9.25)</f>
        <v>9.25</v>
      </c>
      <c r="AF42" s="84">
        <f>IFERROR(__xludf.DUMMYFUNCTION("""COMPUTED_VALUE"""),7.5)</f>
        <v>7.5</v>
      </c>
      <c r="AG42" s="84">
        <f>IFERROR(__xludf.DUMMYFUNCTION("""COMPUTED_VALUE"""),8.5)</f>
        <v>8.5</v>
      </c>
      <c r="AH42" s="91">
        <f>IFERROR(__xludf.DUMMYFUNCTION("""COMPUTED_VALUE"""),1.0)</f>
        <v>1</v>
      </c>
      <c r="AI42" s="92">
        <f>IFERROR(__xludf.DUMMYFUNCTION("""COMPUTED_VALUE"""),0.0)</f>
        <v>0</v>
      </c>
      <c r="AJ42" s="93">
        <f>IFERROR(__xludf.DUMMYFUNCTION("""COMPUTED_VALUE"""),16.834)</f>
        <v>16.834</v>
      </c>
      <c r="AK42" s="94">
        <f>IFERROR(__xludf.DUMMYFUNCTION("""COMPUTED_VALUE"""),3.0)</f>
        <v>3</v>
      </c>
      <c r="AL42" s="95">
        <f>IFERROR(__xludf.DUMMYFUNCTION("""COMPUTED_VALUE"""),1.637)</f>
        <v>1.637</v>
      </c>
      <c r="AM42" s="96">
        <f>IFERROR(__xludf.DUMMYFUNCTION("""COMPUTED_VALUE"""),21.5)</f>
        <v>21.5</v>
      </c>
      <c r="AN42" s="97"/>
      <c r="AO42" s="97"/>
      <c r="AP42" s="100"/>
      <c r="AQ42" s="100"/>
      <c r="AR42" s="97"/>
      <c r="AS42" s="97"/>
      <c r="AT42" s="100"/>
      <c r="AU42" s="100"/>
      <c r="AV42" s="97"/>
      <c r="AW42" s="97"/>
    </row>
    <row r="43" ht="18.0" hidden="1" customHeight="1">
      <c r="A43" s="74">
        <f>IFERROR(__xludf.DUMMYFUNCTION("""COMPUTED_VALUE"""),35.0)</f>
        <v>35</v>
      </c>
      <c r="B43" s="75"/>
      <c r="C43" s="76"/>
      <c r="D43" s="77" t="b">
        <f>IFERROR(__xludf.DUMMYFUNCTION("""COMPUTED_VALUE"""),FALSE)</f>
        <v>0</v>
      </c>
      <c r="E43" s="78">
        <f>IFERROR(__xludf.DUMMYFUNCTION("""COMPUTED_VALUE"""),0.0)</f>
        <v>0</v>
      </c>
      <c r="F43" s="79" t="str">
        <f>IFERROR(__xludf.DUMMYFUNCTION("""COMPUTED_VALUE"""),"OKAY")</f>
        <v>OKAY</v>
      </c>
      <c r="G43" s="80"/>
      <c r="H43" s="74"/>
      <c r="I43" s="74"/>
      <c r="J43" s="81"/>
      <c r="K43" s="84"/>
      <c r="L43" s="81"/>
      <c r="M43" s="81"/>
      <c r="N43" s="82"/>
      <c r="O43" s="83"/>
      <c r="P43" s="84"/>
      <c r="Q43" s="84"/>
      <c r="R43" s="84"/>
      <c r="S43" s="84"/>
      <c r="T43" s="84"/>
      <c r="U43" s="84"/>
      <c r="V43" s="85"/>
      <c r="W43" s="80"/>
      <c r="X43" s="84"/>
      <c r="Y43" s="84"/>
      <c r="Z43" s="84"/>
      <c r="AA43" s="84"/>
      <c r="AB43" s="84"/>
      <c r="AC43" s="105"/>
      <c r="AD43" s="106"/>
      <c r="AE43" s="83"/>
      <c r="AF43" s="84"/>
      <c r="AG43" s="84"/>
      <c r="AH43" s="85"/>
      <c r="AI43" s="92">
        <f>IFERROR(__xludf.DUMMYFUNCTION("""COMPUTED_VALUE"""),0.0)</f>
        <v>0</v>
      </c>
      <c r="AJ43" s="93">
        <f>IFERROR(__xludf.DUMMYFUNCTION("""COMPUTED_VALUE"""),0.0)</f>
        <v>0</v>
      </c>
      <c r="AK43" s="94">
        <f>IFERROR(__xludf.DUMMYFUNCTION("""COMPUTED_VALUE"""),0.0)</f>
        <v>0</v>
      </c>
      <c r="AL43" s="95">
        <f>IFERROR(__xludf.DUMMYFUNCTION("""COMPUTED_VALUE"""),0.0)</f>
        <v>0</v>
      </c>
      <c r="AM43" s="96">
        <f>IFERROR(__xludf.DUMMYFUNCTION("""COMPUTED_VALUE"""),0.0)</f>
        <v>0</v>
      </c>
      <c r="AN43" s="97"/>
      <c r="AO43" s="97"/>
      <c r="AP43" s="100"/>
      <c r="AQ43" s="100"/>
      <c r="AR43" s="97"/>
      <c r="AS43" s="97"/>
      <c r="AT43" s="100"/>
      <c r="AU43" s="100"/>
      <c r="AV43" s="97"/>
      <c r="AW43" s="97"/>
    </row>
    <row r="44" ht="18.0" hidden="1" customHeight="1">
      <c r="A44" s="74">
        <f>IFERROR(__xludf.DUMMYFUNCTION("""COMPUTED_VALUE"""),36.0)</f>
        <v>36</v>
      </c>
      <c r="B44" s="75"/>
      <c r="C44" s="76"/>
      <c r="D44" s="77" t="b">
        <f>IFERROR(__xludf.DUMMYFUNCTION("""COMPUTED_VALUE"""),FALSE)</f>
        <v>0</v>
      </c>
      <c r="E44" s="78">
        <f>IFERROR(__xludf.DUMMYFUNCTION("""COMPUTED_VALUE"""),0.0)</f>
        <v>0</v>
      </c>
      <c r="F44" s="79" t="str">
        <f>IFERROR(__xludf.DUMMYFUNCTION("""COMPUTED_VALUE"""),"OKAY")</f>
        <v>OKAY</v>
      </c>
      <c r="G44" s="80"/>
      <c r="H44" s="74"/>
      <c r="I44" s="74"/>
      <c r="J44" s="81"/>
      <c r="K44" s="84"/>
      <c r="L44" s="81"/>
      <c r="M44" s="81"/>
      <c r="N44" s="82"/>
      <c r="O44" s="83"/>
      <c r="P44" s="84"/>
      <c r="Q44" s="84"/>
      <c r="R44" s="84"/>
      <c r="S44" s="84"/>
      <c r="T44" s="84"/>
      <c r="U44" s="84"/>
      <c r="V44" s="85"/>
      <c r="W44" s="80"/>
      <c r="X44" s="84"/>
      <c r="Y44" s="84"/>
      <c r="Z44" s="84"/>
      <c r="AA44" s="84"/>
      <c r="AB44" s="84"/>
      <c r="AC44" s="105"/>
      <c r="AD44" s="106"/>
      <c r="AE44" s="83"/>
      <c r="AF44" s="84"/>
      <c r="AG44" s="84"/>
      <c r="AH44" s="85"/>
      <c r="AI44" s="92">
        <f>IFERROR(__xludf.DUMMYFUNCTION("""COMPUTED_VALUE"""),0.0)</f>
        <v>0</v>
      </c>
      <c r="AJ44" s="93">
        <f>IFERROR(__xludf.DUMMYFUNCTION("""COMPUTED_VALUE"""),0.0)</f>
        <v>0</v>
      </c>
      <c r="AK44" s="94">
        <f>IFERROR(__xludf.DUMMYFUNCTION("""COMPUTED_VALUE"""),0.0)</f>
        <v>0</v>
      </c>
      <c r="AL44" s="95">
        <f>IFERROR(__xludf.DUMMYFUNCTION("""COMPUTED_VALUE"""),0.0)</f>
        <v>0</v>
      </c>
      <c r="AM44" s="96">
        <f>IFERROR(__xludf.DUMMYFUNCTION("""COMPUTED_VALUE"""),0.0)</f>
        <v>0</v>
      </c>
      <c r="AN44" s="97"/>
      <c r="AO44" s="97"/>
      <c r="AP44" s="100"/>
      <c r="AQ44" s="100"/>
      <c r="AR44" s="97"/>
      <c r="AS44" s="97"/>
      <c r="AT44" s="100"/>
      <c r="AU44" s="100"/>
      <c r="AV44" s="97"/>
      <c r="AW44" s="97"/>
    </row>
    <row r="45" ht="18.0" hidden="1" customHeight="1">
      <c r="A45" s="74">
        <f>IFERROR(__xludf.DUMMYFUNCTION("""COMPUTED_VALUE"""),37.0)</f>
        <v>37</v>
      </c>
      <c r="B45" s="75"/>
      <c r="C45" s="76"/>
      <c r="D45" s="77" t="b">
        <f>IFERROR(__xludf.DUMMYFUNCTION("""COMPUTED_VALUE"""),FALSE)</f>
        <v>0</v>
      </c>
      <c r="E45" s="78">
        <f>IFERROR(__xludf.DUMMYFUNCTION("""COMPUTED_VALUE"""),0.0)</f>
        <v>0</v>
      </c>
      <c r="F45" s="79" t="str">
        <f>IFERROR(__xludf.DUMMYFUNCTION("""COMPUTED_VALUE"""),"OKAY")</f>
        <v>OKAY</v>
      </c>
      <c r="G45" s="80"/>
      <c r="H45" s="74"/>
      <c r="I45" s="74"/>
      <c r="J45" s="81"/>
      <c r="K45" s="84"/>
      <c r="L45" s="81"/>
      <c r="M45" s="81"/>
      <c r="N45" s="82"/>
      <c r="O45" s="83"/>
      <c r="P45" s="84"/>
      <c r="Q45" s="84"/>
      <c r="R45" s="84"/>
      <c r="S45" s="84"/>
      <c r="T45" s="84"/>
      <c r="U45" s="84"/>
      <c r="V45" s="85"/>
      <c r="W45" s="80"/>
      <c r="X45" s="84"/>
      <c r="Y45" s="84"/>
      <c r="Z45" s="84"/>
      <c r="AA45" s="84"/>
      <c r="AB45" s="84"/>
      <c r="AC45" s="105"/>
      <c r="AD45" s="106"/>
      <c r="AE45" s="83"/>
      <c r="AF45" s="84"/>
      <c r="AG45" s="84"/>
      <c r="AH45" s="85"/>
      <c r="AI45" s="92">
        <f>IFERROR(__xludf.DUMMYFUNCTION("""COMPUTED_VALUE"""),0.0)</f>
        <v>0</v>
      </c>
      <c r="AJ45" s="93">
        <f>IFERROR(__xludf.DUMMYFUNCTION("""COMPUTED_VALUE"""),0.0)</f>
        <v>0</v>
      </c>
      <c r="AK45" s="94">
        <f>IFERROR(__xludf.DUMMYFUNCTION("""COMPUTED_VALUE"""),0.0)</f>
        <v>0</v>
      </c>
      <c r="AL45" s="95">
        <f>IFERROR(__xludf.DUMMYFUNCTION("""COMPUTED_VALUE"""),0.0)</f>
        <v>0</v>
      </c>
      <c r="AM45" s="96">
        <f>IFERROR(__xludf.DUMMYFUNCTION("""COMPUTED_VALUE"""),0.0)</f>
        <v>0</v>
      </c>
      <c r="AN45" s="97"/>
      <c r="AO45" s="97"/>
      <c r="AP45" s="100"/>
      <c r="AQ45" s="100"/>
      <c r="AR45" s="97"/>
      <c r="AS45" s="97"/>
      <c r="AT45" s="100"/>
      <c r="AU45" s="100"/>
      <c r="AV45" s="97"/>
      <c r="AW45" s="97"/>
    </row>
    <row r="46" ht="18.0" hidden="1" customHeight="1">
      <c r="A46" s="74">
        <f>IFERROR(__xludf.DUMMYFUNCTION("""COMPUTED_VALUE"""),38.0)</f>
        <v>38</v>
      </c>
      <c r="B46" s="75"/>
      <c r="C46" s="76"/>
      <c r="D46" s="77" t="b">
        <f>IFERROR(__xludf.DUMMYFUNCTION("""COMPUTED_VALUE"""),FALSE)</f>
        <v>0</v>
      </c>
      <c r="E46" s="78">
        <f>IFERROR(__xludf.DUMMYFUNCTION("""COMPUTED_VALUE"""),0.0)</f>
        <v>0</v>
      </c>
      <c r="F46" s="79" t="str">
        <f>IFERROR(__xludf.DUMMYFUNCTION("""COMPUTED_VALUE"""),"OKAY")</f>
        <v>OKAY</v>
      </c>
      <c r="G46" s="80"/>
      <c r="H46" s="74"/>
      <c r="I46" s="75"/>
      <c r="J46" s="81"/>
      <c r="K46" s="84"/>
      <c r="L46" s="81"/>
      <c r="M46" s="81"/>
      <c r="N46" s="82"/>
      <c r="O46" s="83"/>
      <c r="P46" s="84"/>
      <c r="Q46" s="84"/>
      <c r="R46" s="84"/>
      <c r="S46" s="84"/>
      <c r="T46" s="84"/>
      <c r="U46" s="84"/>
      <c r="V46" s="85"/>
      <c r="W46" s="80"/>
      <c r="X46" s="84"/>
      <c r="Y46" s="84"/>
      <c r="Z46" s="84"/>
      <c r="AA46" s="84"/>
      <c r="AB46" s="84"/>
      <c r="AC46" s="105"/>
      <c r="AD46" s="106"/>
      <c r="AE46" s="83"/>
      <c r="AF46" s="84"/>
      <c r="AG46" s="84"/>
      <c r="AH46" s="85"/>
      <c r="AI46" s="92">
        <f>IFERROR(__xludf.DUMMYFUNCTION("""COMPUTED_VALUE"""),0.0)</f>
        <v>0</v>
      </c>
      <c r="AJ46" s="93">
        <f>IFERROR(__xludf.DUMMYFUNCTION("""COMPUTED_VALUE"""),0.0)</f>
        <v>0</v>
      </c>
      <c r="AK46" s="94">
        <f>IFERROR(__xludf.DUMMYFUNCTION("""COMPUTED_VALUE"""),0.0)</f>
        <v>0</v>
      </c>
      <c r="AL46" s="95">
        <f>IFERROR(__xludf.DUMMYFUNCTION("""COMPUTED_VALUE"""),0.0)</f>
        <v>0</v>
      </c>
      <c r="AM46" s="96">
        <f>IFERROR(__xludf.DUMMYFUNCTION("""COMPUTED_VALUE"""),0.0)</f>
        <v>0</v>
      </c>
      <c r="AN46" s="97"/>
      <c r="AO46" s="97"/>
      <c r="AP46" s="100"/>
      <c r="AQ46" s="100"/>
      <c r="AR46" s="97"/>
      <c r="AS46" s="97"/>
      <c r="AT46" s="100"/>
      <c r="AU46" s="100"/>
      <c r="AV46" s="97"/>
      <c r="AW46" s="97"/>
    </row>
    <row r="47" ht="18.0" hidden="1" customHeight="1">
      <c r="A47" s="74">
        <f>IFERROR(__xludf.DUMMYFUNCTION("""COMPUTED_VALUE"""),39.0)</f>
        <v>39</v>
      </c>
      <c r="B47" s="75"/>
      <c r="C47" s="76"/>
      <c r="D47" s="77" t="b">
        <f>IFERROR(__xludf.DUMMYFUNCTION("""COMPUTED_VALUE"""),FALSE)</f>
        <v>0</v>
      </c>
      <c r="E47" s="78">
        <f>IFERROR(__xludf.DUMMYFUNCTION("""COMPUTED_VALUE"""),0.0)</f>
        <v>0</v>
      </c>
      <c r="F47" s="79" t="str">
        <f>IFERROR(__xludf.DUMMYFUNCTION("""COMPUTED_VALUE"""),"OKAY")</f>
        <v>OKAY</v>
      </c>
      <c r="G47" s="80"/>
      <c r="H47" s="74"/>
      <c r="I47" s="75"/>
      <c r="J47" s="81"/>
      <c r="K47" s="84"/>
      <c r="L47" s="81"/>
      <c r="M47" s="81"/>
      <c r="N47" s="82"/>
      <c r="O47" s="83"/>
      <c r="P47" s="84"/>
      <c r="Q47" s="84"/>
      <c r="R47" s="84"/>
      <c r="S47" s="84"/>
      <c r="T47" s="84"/>
      <c r="U47" s="84"/>
      <c r="V47" s="85"/>
      <c r="W47" s="80"/>
      <c r="X47" s="84"/>
      <c r="Y47" s="84"/>
      <c r="Z47" s="84"/>
      <c r="AA47" s="84"/>
      <c r="AB47" s="84"/>
      <c r="AC47" s="105"/>
      <c r="AD47" s="106"/>
      <c r="AE47" s="83"/>
      <c r="AF47" s="84"/>
      <c r="AG47" s="84"/>
      <c r="AH47" s="85"/>
      <c r="AI47" s="92">
        <f>IFERROR(__xludf.DUMMYFUNCTION("""COMPUTED_VALUE"""),0.0)</f>
        <v>0</v>
      </c>
      <c r="AJ47" s="93">
        <f>IFERROR(__xludf.DUMMYFUNCTION("""COMPUTED_VALUE"""),0.0)</f>
        <v>0</v>
      </c>
      <c r="AK47" s="94">
        <f>IFERROR(__xludf.DUMMYFUNCTION("""COMPUTED_VALUE"""),0.0)</f>
        <v>0</v>
      </c>
      <c r="AL47" s="95">
        <f>IFERROR(__xludf.DUMMYFUNCTION("""COMPUTED_VALUE"""),0.0)</f>
        <v>0</v>
      </c>
      <c r="AM47" s="96">
        <f>IFERROR(__xludf.DUMMYFUNCTION("""COMPUTED_VALUE"""),0.0)</f>
        <v>0</v>
      </c>
      <c r="AN47" s="97"/>
      <c r="AO47" s="97"/>
      <c r="AP47" s="100"/>
      <c r="AQ47" s="100"/>
      <c r="AR47" s="97"/>
      <c r="AS47" s="97"/>
      <c r="AT47" s="100"/>
      <c r="AU47" s="100"/>
      <c r="AV47" s="97"/>
      <c r="AW47" s="97"/>
    </row>
    <row r="48" ht="18.0" hidden="1" customHeight="1">
      <c r="A48" s="74">
        <f>IFERROR(__xludf.DUMMYFUNCTION("""COMPUTED_VALUE"""),40.0)</f>
        <v>40</v>
      </c>
      <c r="B48" s="75"/>
      <c r="C48" s="76"/>
      <c r="D48" s="77" t="b">
        <f>IFERROR(__xludf.DUMMYFUNCTION("""COMPUTED_VALUE"""),FALSE)</f>
        <v>0</v>
      </c>
      <c r="E48" s="78">
        <f>IFERROR(__xludf.DUMMYFUNCTION("""COMPUTED_VALUE"""),0.0)</f>
        <v>0</v>
      </c>
      <c r="F48" s="79" t="str">
        <f>IFERROR(__xludf.DUMMYFUNCTION("""COMPUTED_VALUE"""),"OKAY")</f>
        <v>OKAY</v>
      </c>
      <c r="G48" s="80"/>
      <c r="H48" s="74"/>
      <c r="I48" s="74"/>
      <c r="J48" s="81"/>
      <c r="K48" s="84"/>
      <c r="L48" s="81"/>
      <c r="M48" s="81"/>
      <c r="N48" s="82"/>
      <c r="O48" s="83"/>
      <c r="P48" s="84"/>
      <c r="Q48" s="84"/>
      <c r="R48" s="84"/>
      <c r="S48" s="84"/>
      <c r="T48" s="84"/>
      <c r="U48" s="84"/>
      <c r="V48" s="85"/>
      <c r="W48" s="80"/>
      <c r="X48" s="84"/>
      <c r="Y48" s="84"/>
      <c r="Z48" s="84"/>
      <c r="AA48" s="84"/>
      <c r="AB48" s="84"/>
      <c r="AC48" s="105"/>
      <c r="AD48" s="106"/>
      <c r="AE48" s="83"/>
      <c r="AF48" s="84"/>
      <c r="AG48" s="84"/>
      <c r="AH48" s="85"/>
      <c r="AI48" s="92">
        <f>IFERROR(__xludf.DUMMYFUNCTION("""COMPUTED_VALUE"""),0.0)</f>
        <v>0</v>
      </c>
      <c r="AJ48" s="107">
        <f>IFERROR(__xludf.DUMMYFUNCTION("""COMPUTED_VALUE"""),0.0)</f>
        <v>0</v>
      </c>
      <c r="AK48" s="108">
        <f>IFERROR(__xludf.DUMMYFUNCTION("""COMPUTED_VALUE"""),0.0)</f>
        <v>0</v>
      </c>
      <c r="AL48" s="95">
        <f>IFERROR(__xludf.DUMMYFUNCTION("""COMPUTED_VALUE"""),0.0)</f>
        <v>0</v>
      </c>
      <c r="AM48" s="96">
        <f>IFERROR(__xludf.DUMMYFUNCTION("""COMPUTED_VALUE"""),0.0)</f>
        <v>0</v>
      </c>
      <c r="AN48" s="97"/>
      <c r="AO48" s="97"/>
      <c r="AP48" s="100"/>
      <c r="AQ48" s="100"/>
      <c r="AR48" s="97"/>
      <c r="AS48" s="97"/>
      <c r="AT48" s="100"/>
      <c r="AU48" s="100"/>
      <c r="AV48" s="97"/>
      <c r="AW48" s="97"/>
    </row>
    <row r="49" ht="18.0" hidden="1" customHeight="1">
      <c r="A49" s="109"/>
      <c r="B49" s="110"/>
      <c r="C49" s="111"/>
      <c r="D49" s="112"/>
      <c r="E49" s="78"/>
      <c r="F49" s="79"/>
      <c r="G49" s="113"/>
      <c r="H49" s="114"/>
      <c r="I49" s="110"/>
      <c r="J49" s="115"/>
      <c r="K49" s="116"/>
      <c r="L49" s="115"/>
      <c r="M49" s="115"/>
      <c r="N49" s="117"/>
      <c r="O49" s="116"/>
      <c r="P49" s="116"/>
      <c r="Q49" s="116"/>
      <c r="R49" s="116"/>
      <c r="S49" s="116"/>
      <c r="T49" s="116"/>
      <c r="U49" s="116"/>
      <c r="V49" s="117"/>
      <c r="W49" s="116"/>
      <c r="X49" s="116"/>
      <c r="Y49" s="116"/>
      <c r="Z49" s="116"/>
      <c r="AA49" s="116"/>
      <c r="AB49" s="116"/>
      <c r="AC49" s="116"/>
      <c r="AD49" s="118"/>
      <c r="AE49" s="116"/>
      <c r="AF49" s="116"/>
      <c r="AG49" s="116"/>
      <c r="AH49" s="117"/>
      <c r="AI49" s="119"/>
      <c r="AJ49" s="120"/>
      <c r="AK49" s="121"/>
      <c r="AL49" s="122"/>
      <c r="AM49" s="96"/>
      <c r="AN49" s="97"/>
      <c r="AO49" s="97"/>
      <c r="AP49" s="100"/>
      <c r="AQ49" s="100"/>
      <c r="AR49" s="97"/>
      <c r="AS49" s="97"/>
      <c r="AT49" s="100"/>
      <c r="AU49" s="100"/>
      <c r="AV49" s="97"/>
      <c r="AW49" s="97"/>
    </row>
    <row r="50" ht="18.0" hidden="1" customHeight="1">
      <c r="A50" s="109"/>
      <c r="B50" s="110"/>
      <c r="C50" s="111"/>
      <c r="D50" s="112"/>
      <c r="E50" s="78"/>
      <c r="F50" s="79"/>
      <c r="G50" s="113"/>
      <c r="H50" s="114"/>
      <c r="I50" s="114"/>
      <c r="J50" s="115"/>
      <c r="K50" s="116"/>
      <c r="L50" s="115"/>
      <c r="M50" s="115"/>
      <c r="N50" s="117"/>
      <c r="O50" s="116"/>
      <c r="P50" s="116"/>
      <c r="Q50" s="116"/>
      <c r="R50" s="116"/>
      <c r="S50" s="116"/>
      <c r="T50" s="116"/>
      <c r="U50" s="116"/>
      <c r="V50" s="117"/>
      <c r="W50" s="116"/>
      <c r="X50" s="116"/>
      <c r="Y50" s="116"/>
      <c r="Z50" s="116"/>
      <c r="AA50" s="116"/>
      <c r="AB50" s="116"/>
      <c r="AC50" s="116"/>
      <c r="AD50" s="118"/>
      <c r="AE50" s="116"/>
      <c r="AF50" s="116"/>
      <c r="AG50" s="116"/>
      <c r="AH50" s="117"/>
      <c r="AI50" s="119"/>
      <c r="AJ50" s="123"/>
      <c r="AK50" s="122"/>
      <c r="AL50" s="122"/>
      <c r="AM50" s="96"/>
      <c r="AN50" s="97"/>
      <c r="AO50" s="97"/>
      <c r="AP50" s="100"/>
      <c r="AQ50" s="100"/>
      <c r="AR50" s="97"/>
      <c r="AS50" s="97"/>
      <c r="AT50" s="100"/>
      <c r="AU50" s="100"/>
      <c r="AV50" s="97"/>
      <c r="AW50" s="97"/>
    </row>
    <row r="51" ht="18.0" hidden="1" customHeight="1">
      <c r="A51" s="109"/>
      <c r="B51" s="110"/>
      <c r="C51" s="111"/>
      <c r="D51" s="112"/>
      <c r="E51" s="78"/>
      <c r="F51" s="79"/>
      <c r="G51" s="113"/>
      <c r="H51" s="110"/>
      <c r="I51" s="110"/>
      <c r="J51" s="115"/>
      <c r="K51" s="116"/>
      <c r="L51" s="115"/>
      <c r="M51" s="115"/>
      <c r="N51" s="117"/>
      <c r="O51" s="116"/>
      <c r="P51" s="116"/>
      <c r="Q51" s="116"/>
      <c r="R51" s="116"/>
      <c r="S51" s="116"/>
      <c r="T51" s="116"/>
      <c r="U51" s="116"/>
      <c r="V51" s="117"/>
      <c r="W51" s="116"/>
      <c r="X51" s="116"/>
      <c r="Y51" s="116"/>
      <c r="Z51" s="116"/>
      <c r="AA51" s="116"/>
      <c r="AB51" s="116"/>
      <c r="AC51" s="116"/>
      <c r="AD51" s="118"/>
      <c r="AE51" s="116"/>
      <c r="AF51" s="116"/>
      <c r="AG51" s="116"/>
      <c r="AH51" s="117"/>
      <c r="AI51" s="119"/>
      <c r="AJ51" s="123"/>
      <c r="AK51" s="122"/>
      <c r="AL51" s="122"/>
      <c r="AM51" s="96"/>
      <c r="AN51" s="97"/>
      <c r="AO51" s="97"/>
      <c r="AP51" s="100"/>
      <c r="AQ51" s="100"/>
      <c r="AR51" s="97"/>
      <c r="AS51" s="97"/>
      <c r="AT51" s="100"/>
      <c r="AU51" s="100"/>
      <c r="AV51" s="97"/>
      <c r="AW51" s="97"/>
    </row>
    <row r="52" ht="18.0" hidden="1" customHeight="1">
      <c r="A52" s="109"/>
      <c r="B52" s="110"/>
      <c r="C52" s="111"/>
      <c r="D52" s="112"/>
      <c r="E52" s="78"/>
      <c r="F52" s="79"/>
      <c r="G52" s="113"/>
      <c r="H52" s="110"/>
      <c r="I52" s="110"/>
      <c r="J52" s="115"/>
      <c r="K52" s="116"/>
      <c r="L52" s="110"/>
      <c r="M52" s="115"/>
      <c r="N52" s="117"/>
      <c r="O52" s="116"/>
      <c r="P52" s="116"/>
      <c r="Q52" s="116"/>
      <c r="R52" s="116"/>
      <c r="S52" s="116"/>
      <c r="T52" s="116"/>
      <c r="U52" s="116"/>
      <c r="V52" s="117"/>
      <c r="W52" s="116"/>
      <c r="X52" s="116"/>
      <c r="Y52" s="116"/>
      <c r="Z52" s="116"/>
      <c r="AA52" s="116"/>
      <c r="AB52" s="116"/>
      <c r="AC52" s="116"/>
      <c r="AD52" s="118"/>
      <c r="AE52" s="116"/>
      <c r="AF52" s="116"/>
      <c r="AG52" s="116"/>
      <c r="AH52" s="117"/>
      <c r="AI52" s="119"/>
      <c r="AJ52" s="123"/>
      <c r="AK52" s="122"/>
      <c r="AL52" s="122"/>
      <c r="AM52" s="96"/>
      <c r="AN52" s="97"/>
      <c r="AO52" s="97"/>
      <c r="AP52" s="100"/>
      <c r="AQ52" s="100"/>
      <c r="AR52" s="97"/>
      <c r="AS52" s="97"/>
      <c r="AT52" s="100"/>
      <c r="AU52" s="100"/>
      <c r="AV52" s="97"/>
      <c r="AW52" s="97"/>
    </row>
    <row r="53" ht="18.0" hidden="1" customHeight="1">
      <c r="A53" s="109"/>
      <c r="B53" s="110"/>
      <c r="C53" s="111"/>
      <c r="D53" s="112"/>
      <c r="E53" s="78"/>
      <c r="F53" s="79"/>
      <c r="G53" s="113"/>
      <c r="H53" s="110"/>
      <c r="I53" s="110"/>
      <c r="J53" s="115"/>
      <c r="K53" s="116"/>
      <c r="L53" s="110"/>
      <c r="M53" s="115"/>
      <c r="N53" s="117"/>
      <c r="O53" s="116"/>
      <c r="P53" s="116"/>
      <c r="Q53" s="116"/>
      <c r="R53" s="116"/>
      <c r="S53" s="116"/>
      <c r="T53" s="116"/>
      <c r="U53" s="116"/>
      <c r="V53" s="117"/>
      <c r="W53" s="116"/>
      <c r="X53" s="116"/>
      <c r="Y53" s="116"/>
      <c r="Z53" s="116"/>
      <c r="AA53" s="116"/>
      <c r="AB53" s="116"/>
      <c r="AC53" s="116"/>
      <c r="AD53" s="118"/>
      <c r="AE53" s="116"/>
      <c r="AF53" s="116"/>
      <c r="AG53" s="116"/>
      <c r="AH53" s="117"/>
      <c r="AI53" s="119"/>
      <c r="AJ53" s="123"/>
      <c r="AK53" s="122"/>
      <c r="AL53" s="122"/>
      <c r="AM53" s="96"/>
      <c r="AN53" s="97"/>
      <c r="AO53" s="97"/>
      <c r="AP53" s="100"/>
      <c r="AQ53" s="100"/>
      <c r="AR53" s="97"/>
      <c r="AS53" s="97"/>
      <c r="AT53" s="100"/>
      <c r="AU53" s="100"/>
      <c r="AV53" s="97"/>
      <c r="AW53" s="97"/>
    </row>
    <row r="54" ht="18.0" hidden="1" customHeight="1">
      <c r="A54" s="109"/>
      <c r="B54" s="110"/>
      <c r="C54" s="111"/>
      <c r="D54" s="112"/>
      <c r="E54" s="78"/>
      <c r="F54" s="79"/>
      <c r="G54" s="113"/>
      <c r="H54" s="110"/>
      <c r="I54" s="110"/>
      <c r="J54" s="115"/>
      <c r="K54" s="116"/>
      <c r="L54" s="110"/>
      <c r="M54" s="115"/>
      <c r="N54" s="117"/>
      <c r="O54" s="116"/>
      <c r="P54" s="116"/>
      <c r="Q54" s="116"/>
      <c r="R54" s="116"/>
      <c r="S54" s="116"/>
      <c r="T54" s="116"/>
      <c r="U54" s="116"/>
      <c r="V54" s="117"/>
      <c r="W54" s="116"/>
      <c r="X54" s="116"/>
      <c r="Y54" s="116"/>
      <c r="Z54" s="116"/>
      <c r="AA54" s="116"/>
      <c r="AB54" s="116"/>
      <c r="AC54" s="116"/>
      <c r="AD54" s="118"/>
      <c r="AE54" s="116"/>
      <c r="AF54" s="116"/>
      <c r="AG54" s="116"/>
      <c r="AH54" s="117"/>
      <c r="AI54" s="119"/>
      <c r="AJ54" s="123"/>
      <c r="AK54" s="122"/>
      <c r="AL54" s="122"/>
      <c r="AM54" s="96"/>
      <c r="AN54" s="97"/>
      <c r="AO54" s="97"/>
      <c r="AP54" s="100"/>
      <c r="AQ54" s="100"/>
      <c r="AR54" s="97"/>
      <c r="AS54" s="97"/>
      <c r="AT54" s="100"/>
      <c r="AU54" s="100"/>
      <c r="AV54" s="97"/>
      <c r="AW54" s="97"/>
    </row>
    <row r="55" ht="18.0" hidden="1" customHeight="1">
      <c r="A55" s="109"/>
      <c r="B55" s="110"/>
      <c r="C55" s="111"/>
      <c r="D55" s="112"/>
      <c r="E55" s="78"/>
      <c r="F55" s="79"/>
      <c r="G55" s="113"/>
      <c r="H55" s="110"/>
      <c r="I55" s="110"/>
      <c r="J55" s="115"/>
      <c r="K55" s="116"/>
      <c r="L55" s="110"/>
      <c r="M55" s="115"/>
      <c r="N55" s="117"/>
      <c r="O55" s="116"/>
      <c r="P55" s="116"/>
      <c r="Q55" s="116"/>
      <c r="R55" s="116"/>
      <c r="S55" s="116"/>
      <c r="T55" s="116"/>
      <c r="U55" s="116"/>
      <c r="V55" s="117"/>
      <c r="W55" s="116"/>
      <c r="X55" s="116"/>
      <c r="Y55" s="116"/>
      <c r="Z55" s="116"/>
      <c r="AA55" s="116"/>
      <c r="AB55" s="116"/>
      <c r="AC55" s="116"/>
      <c r="AD55" s="118"/>
      <c r="AE55" s="116"/>
      <c r="AF55" s="116"/>
      <c r="AG55" s="116"/>
      <c r="AH55" s="117"/>
      <c r="AI55" s="119"/>
      <c r="AJ55" s="123"/>
      <c r="AK55" s="122"/>
      <c r="AL55" s="122"/>
      <c r="AM55" s="96"/>
      <c r="AN55" s="97"/>
      <c r="AO55" s="97"/>
      <c r="AP55" s="100"/>
      <c r="AQ55" s="100"/>
      <c r="AR55" s="97"/>
      <c r="AS55" s="97"/>
      <c r="AT55" s="100"/>
      <c r="AU55" s="100"/>
      <c r="AV55" s="97"/>
      <c r="AW55" s="97"/>
    </row>
    <row r="56" ht="18.0" hidden="1" customHeight="1">
      <c r="A56" s="109"/>
      <c r="B56" s="110"/>
      <c r="C56" s="111"/>
      <c r="D56" s="112"/>
      <c r="E56" s="78"/>
      <c r="F56" s="79"/>
      <c r="G56" s="113"/>
      <c r="H56" s="110"/>
      <c r="I56" s="110"/>
      <c r="J56" s="115"/>
      <c r="K56" s="116"/>
      <c r="L56" s="110"/>
      <c r="M56" s="115"/>
      <c r="N56" s="117"/>
      <c r="O56" s="116"/>
      <c r="P56" s="116"/>
      <c r="Q56" s="116"/>
      <c r="R56" s="116"/>
      <c r="S56" s="116"/>
      <c r="T56" s="116"/>
      <c r="U56" s="116"/>
      <c r="V56" s="117"/>
      <c r="W56" s="116"/>
      <c r="X56" s="116"/>
      <c r="Y56" s="116"/>
      <c r="Z56" s="116"/>
      <c r="AA56" s="116"/>
      <c r="AB56" s="116"/>
      <c r="AC56" s="116"/>
      <c r="AD56" s="118"/>
      <c r="AE56" s="116"/>
      <c r="AF56" s="116"/>
      <c r="AG56" s="116"/>
      <c r="AH56" s="117"/>
      <c r="AI56" s="119"/>
      <c r="AJ56" s="123"/>
      <c r="AK56" s="122"/>
      <c r="AL56" s="122"/>
      <c r="AM56" s="96"/>
      <c r="AN56" s="97"/>
      <c r="AO56" s="97"/>
      <c r="AP56" s="100"/>
      <c r="AQ56" s="100"/>
      <c r="AR56" s="97"/>
      <c r="AS56" s="97"/>
      <c r="AT56" s="100"/>
      <c r="AU56" s="100"/>
      <c r="AV56" s="97"/>
      <c r="AW56" s="97"/>
    </row>
    <row r="57" ht="18.0" hidden="1" customHeight="1">
      <c r="A57" s="109"/>
      <c r="B57" s="110"/>
      <c r="C57" s="111"/>
      <c r="D57" s="112"/>
      <c r="E57" s="78"/>
      <c r="F57" s="79"/>
      <c r="G57" s="113"/>
      <c r="H57" s="110"/>
      <c r="I57" s="110"/>
      <c r="J57" s="115"/>
      <c r="K57" s="116"/>
      <c r="L57" s="110"/>
      <c r="M57" s="115"/>
      <c r="N57" s="117"/>
      <c r="O57" s="116"/>
      <c r="P57" s="116"/>
      <c r="Q57" s="116"/>
      <c r="R57" s="116"/>
      <c r="S57" s="116"/>
      <c r="T57" s="116"/>
      <c r="U57" s="116"/>
      <c r="V57" s="117"/>
      <c r="W57" s="116"/>
      <c r="X57" s="116"/>
      <c r="Y57" s="116"/>
      <c r="Z57" s="116"/>
      <c r="AA57" s="116"/>
      <c r="AB57" s="116"/>
      <c r="AC57" s="116"/>
      <c r="AD57" s="118"/>
      <c r="AE57" s="116"/>
      <c r="AF57" s="116"/>
      <c r="AG57" s="116"/>
      <c r="AH57" s="117"/>
      <c r="AI57" s="119"/>
      <c r="AJ57" s="123"/>
      <c r="AK57" s="122"/>
      <c r="AL57" s="122"/>
      <c r="AM57" s="96"/>
      <c r="AN57" s="97"/>
      <c r="AO57" s="97"/>
      <c r="AP57" s="100"/>
      <c r="AQ57" s="100"/>
      <c r="AR57" s="97"/>
      <c r="AS57" s="97"/>
      <c r="AT57" s="100"/>
      <c r="AU57" s="100"/>
      <c r="AV57" s="97"/>
      <c r="AW57" s="97"/>
    </row>
    <row r="58" ht="18.0" hidden="1" customHeight="1">
      <c r="A58" s="109"/>
      <c r="B58" s="110"/>
      <c r="C58" s="111"/>
      <c r="D58" s="112"/>
      <c r="E58" s="78"/>
      <c r="F58" s="79"/>
      <c r="G58" s="113"/>
      <c r="H58" s="110"/>
      <c r="I58" s="110"/>
      <c r="J58" s="115"/>
      <c r="K58" s="116"/>
      <c r="L58" s="110"/>
      <c r="M58" s="115"/>
      <c r="N58" s="117"/>
      <c r="O58" s="116"/>
      <c r="P58" s="116"/>
      <c r="Q58" s="116"/>
      <c r="R58" s="116"/>
      <c r="S58" s="116"/>
      <c r="T58" s="116"/>
      <c r="U58" s="116"/>
      <c r="V58" s="117"/>
      <c r="W58" s="116"/>
      <c r="X58" s="116"/>
      <c r="Y58" s="116"/>
      <c r="Z58" s="116"/>
      <c r="AA58" s="116"/>
      <c r="AB58" s="116"/>
      <c r="AC58" s="116"/>
      <c r="AD58" s="118"/>
      <c r="AE58" s="116"/>
      <c r="AF58" s="116"/>
      <c r="AG58" s="116"/>
      <c r="AH58" s="117"/>
      <c r="AI58" s="119"/>
      <c r="AJ58" s="123"/>
      <c r="AK58" s="122"/>
      <c r="AL58" s="122"/>
      <c r="AM58" s="96"/>
      <c r="AN58" s="97"/>
      <c r="AO58" s="97"/>
      <c r="AP58" s="100"/>
      <c r="AQ58" s="100"/>
      <c r="AR58" s="97"/>
      <c r="AS58" s="97"/>
      <c r="AT58" s="100"/>
      <c r="AU58" s="100"/>
      <c r="AV58" s="97"/>
      <c r="AW58" s="97"/>
    </row>
  </sheetData>
  <mergeCells count="13">
    <mergeCell ref="C7:C8"/>
    <mergeCell ref="D7:D8"/>
    <mergeCell ref="E7:E8"/>
    <mergeCell ref="F7:F8"/>
    <mergeCell ref="AP8:AR8"/>
    <mergeCell ref="AT8:AV8"/>
    <mergeCell ref="G6:N6"/>
    <mergeCell ref="O6:V6"/>
    <mergeCell ref="W6:AD6"/>
    <mergeCell ref="AE6:AH6"/>
    <mergeCell ref="AJ6:AM6"/>
    <mergeCell ref="A7:A8"/>
    <mergeCell ref="B7:B8"/>
  </mergeCells>
  <conditionalFormatting sqref="A9:AM58">
    <cfRule type="expression" dxfId="0" priority="1">
      <formula>$AI9 = "FAIL"</formula>
    </cfRule>
  </conditionalFormatting>
  <conditionalFormatting sqref="G1:AM58 A9:C58">
    <cfRule type="expression" dxfId="1" priority="2">
      <formula>$F1="BARRED"</formula>
    </cfRule>
  </conditionalFormatting>
  <conditionalFormatting sqref="G9:M58">
    <cfRule type="cellIs" dxfId="2" priority="3" operator="equal">
      <formula>1</formula>
    </cfRule>
  </conditionalFormatting>
  <conditionalFormatting sqref="G9:M58">
    <cfRule type="cellIs" dxfId="3" priority="4" operator="equal">
      <formula>0</formula>
    </cfRule>
  </conditionalFormatting>
  <conditionalFormatting sqref="G9:M58">
    <cfRule type="cellIs" dxfId="4" priority="5" operator="equal">
      <formula>"S"</formula>
    </cfRule>
  </conditionalFormatting>
  <conditionalFormatting sqref="E9:F58">
    <cfRule type="expression" dxfId="5" priority="6">
      <formula>$F9 = "WARNING"</formula>
    </cfRule>
  </conditionalFormatting>
  <conditionalFormatting sqref="E9:F58">
    <cfRule type="expression" dxfId="0" priority="7">
      <formula> $F9 = "BARRED" </formula>
    </cfRule>
  </conditionalFormatting>
  <conditionalFormatting sqref="F8:F58">
    <cfRule type="cellIs" dxfId="5" priority="8" operator="equal">
      <formula>"WARNING"</formula>
    </cfRule>
  </conditionalFormatting>
  <conditionalFormatting sqref="D9:D58">
    <cfRule type="cellIs" dxfId="6" priority="9" operator="equal">
      <formula>"TRUE"</formula>
    </cfRule>
  </conditionalFormatting>
  <conditionalFormatting sqref="E9:F58">
    <cfRule type="expression" dxfId="7" priority="10">
      <formula>$F9 = "OKAY"</formula>
    </cfRule>
  </conditionalFormatting>
  <conditionalFormatting sqref="AK9:AK58">
    <cfRule type="expression" dxfId="0" priority="11">
      <formula>OR($AW9 &gt; 3, $AK9 &gt; 3)</formula>
    </cfRule>
  </conditionalFormatting>
  <conditionalFormatting sqref="W9:AD48">
    <cfRule type="containsText" dxfId="8" priority="12" operator="containsText" text="N">
      <formula>NOT(ISERROR(SEARCH(("N"),(W9))))</formula>
    </cfRule>
  </conditionalFormatting>
  <conditionalFormatting sqref="O9:V48">
    <cfRule type="containsText" dxfId="3" priority="13" operator="containsText" text="A">
      <formula>NOT(ISERROR(SEARCH(("A"),(O9))))</formula>
    </cfRule>
  </conditionalFormatting>
  <conditionalFormatting sqref="O9:V48">
    <cfRule type="containsText" dxfId="9" priority="14" operator="containsText" text="P">
      <formula>NOT(ISERROR(SEARCH(("P"),(O9))))</formula>
    </cfRule>
  </conditionalFormatting>
  <conditionalFormatting sqref="AE9:AH48">
    <cfRule type="cellIs" dxfId="10" priority="15" operator="equal">
      <formula>"P"</formula>
    </cfRule>
  </conditionalFormatting>
  <conditionalFormatting sqref="AE9:AH48">
    <cfRule type="cellIs" dxfId="8" priority="16" operator="equal">
      <formula>0</formula>
    </cfRule>
  </conditionalFormatting>
  <conditionalFormatting sqref="O9:AH48">
    <cfRule type="expression" dxfId="11" priority="17">
      <formula>ISNUMBER(O9)</formula>
    </cfRule>
  </conditionalFormatting>
  <conditionalFormatting sqref="O9:V48">
    <cfRule type="containsText" dxfId="12" priority="18" operator="containsText" text="S">
      <formula>NOT(ISERROR(SEARCH(("S"),(O9))))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20.13"/>
    <col customWidth="1" min="4" max="4" width="45.13"/>
    <col customWidth="1" min="5" max="6" width="12.63"/>
    <col hidden="1" min="7" max="15" width="12.63"/>
  </cols>
  <sheetData>
    <row r="1">
      <c r="A1" s="124"/>
      <c r="B1" s="124"/>
      <c r="C1" s="124"/>
      <c r="D1" s="124"/>
      <c r="E1" s="124"/>
    </row>
    <row r="2" ht="24.0" customHeight="1">
      <c r="A2" s="125"/>
      <c r="B2" s="126"/>
      <c r="C2" s="127" t="s">
        <v>2</v>
      </c>
      <c r="D2" s="127" t="s">
        <v>3</v>
      </c>
      <c r="E2" s="128" t="s">
        <v>4</v>
      </c>
      <c r="F2" s="6"/>
      <c r="G2" s="6"/>
      <c r="H2" s="6"/>
      <c r="I2" s="6"/>
      <c r="J2" s="6"/>
      <c r="K2" s="6"/>
      <c r="L2" s="6"/>
      <c r="M2" s="6"/>
      <c r="N2" s="6"/>
      <c r="O2" s="6"/>
    </row>
    <row r="3" ht="37.5" customHeight="1">
      <c r="A3" s="129"/>
      <c r="B3" s="130" t="str">
        <f t="shared" ref="B3:C3" si="1">G3</f>
        <v>A8</v>
      </c>
      <c r="C3" s="131" t="str">
        <f t="shared" si="1"/>
        <v/>
      </c>
      <c r="D3" s="131" t="str">
        <f t="shared" ref="D3:D6" si="3">IF(IFERROR(DATEDIF(TODAY(),$H3,"D"),0)&lt;8,I3,"Not Anounced Yet")</f>
        <v>Instance variable + Instance method</v>
      </c>
      <c r="E3" s="132" t="str">
        <f t="shared" ref="E3:E6" si="4">J3</f>
        <v>Click Here</v>
      </c>
      <c r="F3" s="6"/>
      <c r="G3" s="133" t="str">
        <f>IFERROR(__xludf.DUMMYFUNCTION("IMPORTRANGE(Marksheet!C2,""Meta!A3:D6"")"),"A8")</f>
        <v>A8</v>
      </c>
      <c r="H3" s="6"/>
      <c r="I3" s="134" t="str">
        <f>IFERROR(__xludf.DUMMYFUNCTION("""COMPUTED_VALUE"""),"Instance variable + Instance method")</f>
        <v>Instance variable + Instance method</v>
      </c>
      <c r="J3" s="135" t="str">
        <f>IFERROR(__xludf.DUMMYFUNCTION("""COMPUTED_VALUE"""),"Click Here")</f>
        <v>Click Here</v>
      </c>
      <c r="K3" s="6"/>
      <c r="L3" s="6"/>
      <c r="M3" s="6"/>
      <c r="N3" s="6"/>
      <c r="O3" s="6"/>
    </row>
    <row r="4" ht="37.5" customHeight="1">
      <c r="A4" s="129"/>
      <c r="B4" s="130" t="str">
        <f t="shared" ref="B4:C4" si="2">G4</f>
        <v>Exam#1</v>
      </c>
      <c r="C4" s="136">
        <f t="shared" si="2"/>
        <v>46085</v>
      </c>
      <c r="D4" s="131" t="str">
        <f t="shared" si="3"/>
        <v>Static Variable &amp; Method</v>
      </c>
      <c r="E4" s="131" t="str">
        <f t="shared" si="4"/>
        <v/>
      </c>
      <c r="F4" s="6"/>
      <c r="G4" s="133" t="str">
        <f>IFERROR(__xludf.DUMMYFUNCTION("""COMPUTED_VALUE"""),"Exam#1")</f>
        <v>Exam#1</v>
      </c>
      <c r="H4" s="137">
        <f>IFERROR(__xludf.DUMMYFUNCTION("""COMPUTED_VALUE"""),46085.0)</f>
        <v>46085</v>
      </c>
      <c r="I4" s="134" t="str">
        <f>IFERROR(__xludf.DUMMYFUNCTION("""COMPUTED_VALUE"""),"Static Variable &amp; Method")</f>
        <v>Static Variable &amp; Method</v>
      </c>
      <c r="J4" s="6"/>
      <c r="K4" s="6"/>
      <c r="L4" s="6"/>
      <c r="M4" s="6"/>
      <c r="N4" s="6"/>
      <c r="O4" s="6"/>
    </row>
    <row r="5" ht="37.5" customHeight="1">
      <c r="A5" s="129"/>
      <c r="B5" s="130" t="str">
        <f t="shared" ref="B5:C5" si="5">G5</f>
        <v>Exam#2</v>
      </c>
      <c r="C5" s="136">
        <f t="shared" si="5"/>
        <v>46134</v>
      </c>
      <c r="D5" s="131" t="str">
        <f t="shared" si="3"/>
        <v>Inheritance Basic</v>
      </c>
      <c r="E5" s="131" t="str">
        <f t="shared" si="4"/>
        <v/>
      </c>
      <c r="F5" s="6"/>
      <c r="G5" s="133" t="str">
        <f>IFERROR(__xludf.DUMMYFUNCTION("""COMPUTED_VALUE"""),"Exam#2")</f>
        <v>Exam#2</v>
      </c>
      <c r="H5" s="137">
        <f>IFERROR(__xludf.DUMMYFUNCTION("""COMPUTED_VALUE"""),46134.0)</f>
        <v>46134</v>
      </c>
      <c r="I5" s="134" t="str">
        <f>IFERROR(__xludf.DUMMYFUNCTION("""COMPUTED_VALUE"""),"Inheritance Basic")</f>
        <v>Inheritance Basic</v>
      </c>
      <c r="J5" s="6"/>
      <c r="K5" s="6"/>
      <c r="L5" s="6"/>
      <c r="M5" s="6"/>
      <c r="N5" s="6"/>
      <c r="O5" s="6"/>
    </row>
    <row r="6" ht="37.5" customHeight="1">
      <c r="A6" s="129"/>
      <c r="B6" s="130" t="str">
        <f t="shared" ref="B6:C6" si="6">G6</f>
        <v>Exam#3</v>
      </c>
      <c r="C6" s="136">
        <f t="shared" si="6"/>
        <v>46141</v>
      </c>
      <c r="D6" s="131" t="str">
        <f t="shared" si="3"/>
        <v>Inheritance Advanced</v>
      </c>
      <c r="E6" s="131" t="str">
        <f t="shared" si="4"/>
        <v/>
      </c>
      <c r="F6" s="6"/>
      <c r="G6" s="133" t="str">
        <f>IFERROR(__xludf.DUMMYFUNCTION("""COMPUTED_VALUE"""),"Exam#3")</f>
        <v>Exam#3</v>
      </c>
      <c r="H6" s="137">
        <f>IFERROR(__xludf.DUMMYFUNCTION("""COMPUTED_VALUE"""),46141.0)</f>
        <v>46141</v>
      </c>
      <c r="I6" s="134" t="str">
        <f>IFERROR(__xludf.DUMMYFUNCTION("""COMPUTED_VALUE"""),"Inheritance Advanced")</f>
        <v>Inheritance Advanced</v>
      </c>
      <c r="J6" s="6"/>
      <c r="K6" s="6"/>
      <c r="L6" s="6"/>
      <c r="M6" s="6"/>
      <c r="N6" s="6"/>
      <c r="O6" s="6"/>
    </row>
    <row r="7">
      <c r="A7" s="138"/>
      <c r="B7" s="138"/>
      <c r="C7" s="138"/>
      <c r="D7" s="138"/>
      <c r="E7" s="138"/>
    </row>
    <row r="8">
      <c r="A8" s="139"/>
      <c r="B8" s="139"/>
      <c r="C8" s="139"/>
      <c r="D8" s="139"/>
      <c r="E8" s="139"/>
    </row>
    <row r="9">
      <c r="A9" s="139"/>
      <c r="B9" s="139"/>
      <c r="C9" s="139"/>
      <c r="D9" s="139"/>
      <c r="E9" s="139"/>
    </row>
    <row r="10">
      <c r="A10" s="139"/>
      <c r="B10" s="139"/>
      <c r="C10" s="139"/>
      <c r="D10" s="139"/>
      <c r="E10" s="139"/>
    </row>
  </sheetData>
  <hyperlinks>
    <hyperlink r:id="rId1" ref="J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9" width="18.88"/>
  </cols>
  <sheetData>
    <row r="1" ht="22.5" customHeight="1">
      <c r="A1" s="140" t="str">
        <f>IFERROR(__xludf.DUMMYFUNCTION("IMPORTRANGE(Marksheet!C2,""Consultations!A1:J36"")"),"")</f>
        <v/>
      </c>
      <c r="B1" s="140"/>
      <c r="C1" s="140"/>
      <c r="D1" s="140"/>
      <c r="E1" s="140"/>
      <c r="F1" s="140"/>
      <c r="G1" s="140"/>
      <c r="H1" s="140"/>
      <c r="I1" s="140"/>
      <c r="J1" s="140"/>
    </row>
    <row r="2" ht="22.5" customHeight="1">
      <c r="A2" s="140"/>
      <c r="B2" s="140"/>
      <c r="C2" s="140"/>
      <c r="D2" s="140"/>
      <c r="E2" s="140"/>
      <c r="F2" s="140"/>
      <c r="G2" s="140"/>
      <c r="H2" s="140"/>
      <c r="I2" s="140"/>
      <c r="J2" s="140"/>
    </row>
    <row r="3" ht="22.5" customHeight="1">
      <c r="A3" s="141"/>
      <c r="B3" s="142"/>
      <c r="C3" s="143"/>
      <c r="D3" s="143"/>
      <c r="E3" s="143"/>
      <c r="F3" s="143"/>
      <c r="G3" s="143"/>
      <c r="H3" s="143"/>
      <c r="I3" s="144"/>
      <c r="J3" s="141"/>
    </row>
    <row r="4" ht="22.5" customHeight="1">
      <c r="A4" s="141"/>
      <c r="B4" s="145" t="str">
        <f>IFERROR(__xludf.DUMMYFUNCTION("""COMPUTED_VALUE"""),"Consultation Hour Planner    -    SPRING 2026")</f>
        <v>Consultation Hour Planner    -    SPRING 2026</v>
      </c>
      <c r="C4" s="146"/>
      <c r="D4" s="146"/>
      <c r="E4" s="146"/>
      <c r="F4" s="146"/>
      <c r="G4" s="146"/>
      <c r="H4" s="146"/>
      <c r="I4" s="147"/>
      <c r="J4" s="141"/>
    </row>
    <row r="5" ht="22.5" customHeight="1">
      <c r="A5" s="141"/>
      <c r="B5" s="148"/>
      <c r="C5" s="149" t="str">
        <f>IFERROR(__xludf.DUMMYFUNCTION("""COMPUTED_VALUE"""),"Faculty:")</f>
        <v>Faculty:</v>
      </c>
      <c r="D5" s="150" t="str">
        <f>IFERROR(__xludf.DUMMYFUNCTION("""COMPUTED_VALUE"""),"Quazi Ashikur Rahman")</f>
        <v>Quazi Ashikur Rahman</v>
      </c>
      <c r="E5" s="151"/>
      <c r="F5" s="152"/>
      <c r="G5" s="153" t="str">
        <f>IFERROR(__xludf.DUMMYFUNCTION("""COMPUTED_VALUE"""),"Initial:")</f>
        <v>Initial:</v>
      </c>
      <c r="H5" s="154" t="str">
        <f>IFERROR(__xludf.DUMMYFUNCTION("""COMPUTED_VALUE"""),"QUZA")</f>
        <v>QUZA</v>
      </c>
      <c r="I5" s="155"/>
      <c r="J5" s="141"/>
    </row>
    <row r="6" ht="22.5" customHeight="1">
      <c r="A6" s="141"/>
      <c r="B6" s="148"/>
      <c r="C6" s="156" t="str">
        <f>IFERROR(__xludf.DUMMYFUNCTION("""COMPUTED_VALUE"""),"Email:")</f>
        <v>Email:</v>
      </c>
      <c r="D6" s="157" t="str">
        <f>IFERROR(__xludf.DUMMYFUNCTION("""COMPUTED_VALUE"""),"quazi.ashikur@bracu.ac.bd")</f>
        <v>quazi.ashikur@bracu.ac.bd</v>
      </c>
      <c r="E6" s="158"/>
      <c r="F6" s="159"/>
      <c r="G6" s="160" t="str">
        <f>IFERROR(__xludf.DUMMYFUNCTION("""COMPUTED_VALUE"""),"Room/Desk:")</f>
        <v>Room/Desk:</v>
      </c>
      <c r="H6" s="161" t="str">
        <f>IFERROR(__xludf.DUMMYFUNCTION("""COMPUTED_VALUE"""),"4M120")</f>
        <v>4M120</v>
      </c>
      <c r="I6" s="155"/>
      <c r="J6" s="141"/>
    </row>
    <row r="7" ht="22.5" customHeight="1">
      <c r="A7" s="141"/>
      <c r="B7" s="162"/>
      <c r="C7" s="163"/>
      <c r="D7" s="164"/>
      <c r="E7" s="163"/>
      <c r="F7" s="163"/>
      <c r="G7" s="163"/>
      <c r="H7" s="163"/>
      <c r="I7" s="165"/>
      <c r="J7" s="141"/>
    </row>
    <row r="8" ht="22.5" customHeight="1">
      <c r="A8" s="141"/>
      <c r="B8" s="166"/>
      <c r="C8" s="167" t="str">
        <f>IFERROR(__xludf.DUMMYFUNCTION("""COMPUTED_VALUE"""),"8:00 AM")</f>
        <v>8:00 AM</v>
      </c>
      <c r="D8" s="167" t="str">
        <f>IFERROR(__xludf.DUMMYFUNCTION("""COMPUTED_VALUE"""),"9:30 AM")</f>
        <v>9:30 AM</v>
      </c>
      <c r="E8" s="167" t="str">
        <f>IFERROR(__xludf.DUMMYFUNCTION("""COMPUTED_VALUE"""),"11:00 AM")</f>
        <v>11:00 AM</v>
      </c>
      <c r="F8" s="167" t="str">
        <f>IFERROR(__xludf.DUMMYFUNCTION("""COMPUTED_VALUE"""),"12:30 PM")</f>
        <v>12:30 PM</v>
      </c>
      <c r="G8" s="167" t="str">
        <f>IFERROR(__xludf.DUMMYFUNCTION("""COMPUTED_VALUE"""),"2:00 PM")</f>
        <v>2:00 PM</v>
      </c>
      <c r="H8" s="167" t="str">
        <f>IFERROR(__xludf.DUMMYFUNCTION("""COMPUTED_VALUE"""),"3:30 PM")</f>
        <v>3:30 PM</v>
      </c>
      <c r="I8" s="168" t="str">
        <f>IFERROR(__xludf.DUMMYFUNCTION("""COMPUTED_VALUE"""),"5:00 PM")</f>
        <v>5:00 PM</v>
      </c>
      <c r="J8" s="141"/>
    </row>
    <row r="9" ht="60.0" customHeight="1">
      <c r="A9" s="141"/>
      <c r="B9" s="169" t="str">
        <f>IFERROR(__xludf.DUMMYFUNCTION("""COMPUTED_VALUE"""),"Saturday")</f>
        <v>Saturday</v>
      </c>
      <c r="C9" s="170" t="str">
        <f>IFERROR(__xludf.DUMMYFUNCTION("""COMPUTED_VALUE"""),"")</f>
        <v/>
      </c>
      <c r="D9" s="171" t="str">
        <f>IFERROR(__xludf.DUMMYFUNCTION("""COMPUTED_VALUE"""),"")</f>
        <v/>
      </c>
      <c r="E9" s="172" t="str">
        <f>IFERROR(__xludf.DUMMYFUNCTION("""COMPUTED_VALUE"""),"")</f>
        <v/>
      </c>
      <c r="F9" s="172" t="str">
        <f>IFERROR(__xludf.DUMMYFUNCTION("""COMPUTED_VALUE"""),"")</f>
        <v/>
      </c>
      <c r="G9" s="171" t="str">
        <f>IFERROR(__xludf.DUMMYFUNCTION("""COMPUTED_VALUE"""),"")</f>
        <v/>
      </c>
      <c r="H9" s="171" t="str">
        <f>IFERROR(__xludf.DUMMYFUNCTION("""COMPUTED_VALUE"""),"")</f>
        <v/>
      </c>
      <c r="I9" s="173" t="str">
        <f>IFERROR(__xludf.DUMMYFUNCTION("""COMPUTED_VALUE"""),"")</f>
        <v/>
      </c>
      <c r="J9" s="141"/>
    </row>
    <row r="10" ht="60.0" customHeight="1">
      <c r="A10" s="141"/>
      <c r="B10" s="169" t="str">
        <f>IFERROR(__xludf.DUMMYFUNCTION("""COMPUTED_VALUE"""),"Sunday")</f>
        <v>Sunday</v>
      </c>
      <c r="C10" s="174" t="str">
        <f>IFERROR(__xludf.DUMMYFUNCTION("""COMPUTED_VALUE"""),"")</f>
        <v/>
      </c>
      <c r="D10" s="175" t="str">
        <f>IFERROR(__xludf.DUMMYFUNCTION("""COMPUTED_VALUE"""),"CSE230-12
09B-12C")</f>
        <v>CSE230-12
09B-12C</v>
      </c>
      <c r="E10" s="175" t="str">
        <f>IFERROR(__xludf.DUMMYFUNCTION("""COMPUTED_VALUE"""),"CSE230-13
09B-12C")</f>
        <v>CSE230-13
09B-12C</v>
      </c>
      <c r="F10" s="175" t="str">
        <f>IFERROR(__xludf.DUMMYFUNCTION("""COMPUTED_VALUE"""),"Consultation")</f>
        <v>Consultation</v>
      </c>
      <c r="G10" s="131" t="str">
        <f>IFERROR(__xludf.DUMMYFUNCTION("""COMPUTED_VALUE"""),"")</f>
        <v/>
      </c>
      <c r="H10" s="175" t="str">
        <f>IFERROR(__xludf.DUMMYFUNCTION("""COMPUTED_VALUE"""),"CSE427-08
07H-27C")</f>
        <v>CSE427-08
07H-27C</v>
      </c>
      <c r="I10" s="176" t="str">
        <f>IFERROR(__xludf.DUMMYFUNCTION("""COMPUTED_VALUE"""),"")</f>
        <v/>
      </c>
      <c r="J10" s="141"/>
    </row>
    <row r="11" ht="60.0" customHeight="1">
      <c r="A11" s="141"/>
      <c r="B11" s="169" t="str">
        <f>IFERROR(__xludf.DUMMYFUNCTION("""COMPUTED_VALUE"""),"Monday")</f>
        <v>Monday</v>
      </c>
      <c r="C11" s="177" t="str">
        <f>IFERROR(__xludf.DUMMYFUNCTION("""COMPUTED_VALUE"""),"")</f>
        <v/>
      </c>
      <c r="D11" s="175" t="str">
        <f>IFERROR(__xludf.DUMMYFUNCTION("""COMPUTED_VALUE"""),"Consultation by
Appointment")</f>
        <v>Consultation by
Appointment</v>
      </c>
      <c r="E11" s="175" t="str">
        <f>IFERROR(__xludf.DUMMYFUNCTION("""COMPUTED_VALUE"""),"Consultation by
Appointment")</f>
        <v>Consultation by
Appointment</v>
      </c>
      <c r="F11" s="175" t="str">
        <f>IFERROR(__xludf.DUMMYFUNCTION("""COMPUTED_VALUE"""),"CSE111-17
09H-34C")</f>
        <v>CSE111-17
09H-34C</v>
      </c>
      <c r="G11" s="175" t="str">
        <f>IFERROR(__xludf.DUMMYFUNCTION("""COMPUTED_VALUE"""),"CSE427-08 (LAB)
DFD,QUZA
09F-27L")</f>
        <v>CSE427-08 (LAB)
DFD,QUZA
09F-27L</v>
      </c>
      <c r="H11" s="175" t="str">
        <f>IFERROR(__xludf.DUMMYFUNCTION("""COMPUTED_VALUE"""),"CSE427-08 (LAB)
DFD,QUZA
09F-27L")</f>
        <v>CSE427-08 (LAB)
DFD,QUZA
09F-27L</v>
      </c>
      <c r="I11" s="176" t="str">
        <f>IFERROR(__xludf.DUMMYFUNCTION("""COMPUTED_VALUE"""),"")</f>
        <v/>
      </c>
      <c r="J11" s="141"/>
    </row>
    <row r="12" ht="60.0" customHeight="1">
      <c r="A12" s="141"/>
      <c r="B12" s="169" t="str">
        <f>IFERROR(__xludf.DUMMYFUNCTION("""COMPUTED_VALUE"""),"Tuesday")</f>
        <v>Tuesday</v>
      </c>
      <c r="C12" s="174" t="str">
        <f>IFERROR(__xludf.DUMMYFUNCTION("""COMPUTED_VALUE"""),"")</f>
        <v/>
      </c>
      <c r="D12" s="175" t="str">
        <f>IFERROR(__xludf.DUMMYFUNCTION("""COMPUTED_VALUE"""),"CSE230-12
09B-12C")</f>
        <v>CSE230-12
09B-12C</v>
      </c>
      <c r="E12" s="175" t="str">
        <f>IFERROR(__xludf.DUMMYFUNCTION("""COMPUTED_VALUE"""),"CSE230-13
09B-12C")</f>
        <v>CSE230-13
09B-12C</v>
      </c>
      <c r="F12" s="175" t="str">
        <f>IFERROR(__xludf.DUMMYFUNCTION("""COMPUTED_VALUE"""),"Consultation")</f>
        <v>Consultation</v>
      </c>
      <c r="G12" s="175"/>
      <c r="H12" s="175" t="str">
        <f>IFERROR(__xludf.DUMMYFUNCTION("""COMPUTED_VALUE"""),"CSE427-08
07H-27C")</f>
        <v>CSE427-08
07H-27C</v>
      </c>
      <c r="I12" s="176" t="str">
        <f>IFERROR(__xludf.DUMMYFUNCTION("""COMPUTED_VALUE"""),"")</f>
        <v/>
      </c>
      <c r="J12" s="141"/>
    </row>
    <row r="13" ht="60.0" customHeight="1">
      <c r="A13" s="141"/>
      <c r="B13" s="169" t="str">
        <f>IFERROR(__xludf.DUMMYFUNCTION("""COMPUTED_VALUE"""),"Wednesday")</f>
        <v>Wednesday</v>
      </c>
      <c r="C13" s="177" t="str">
        <f>IFERROR(__xludf.DUMMYFUNCTION("""COMPUTED_VALUE"""),"CSE111-10 (LAB)
AVB,QUZA
09F-27L")</f>
        <v>CSE111-10 (LAB)
AVB,QUZA
09F-27L</v>
      </c>
      <c r="D13" s="175" t="str">
        <f>IFERROR(__xludf.DUMMYFUNCTION("""COMPUTED_VALUE"""),"CSE111-10 (LAB)
AVB,QUZA
09F-27L")</f>
        <v>CSE111-10 (LAB)
AVB,QUZA
09F-27L</v>
      </c>
      <c r="E13" s="175" t="str">
        <f>IFERROR(__xludf.DUMMYFUNCTION("""COMPUTED_VALUE"""),"Consultation")</f>
        <v>Consultation</v>
      </c>
      <c r="F13" s="175" t="str">
        <f>IFERROR(__xludf.DUMMYFUNCTION("""COMPUTED_VALUE"""),"CSE111-17
09H-34C")</f>
        <v>CSE111-17
09H-34C</v>
      </c>
      <c r="G13" s="175" t="str">
        <f>IFERROR(__xludf.DUMMYFUNCTION("""COMPUTED_VALUE"""),"")</f>
        <v/>
      </c>
      <c r="H13" s="175" t="str">
        <f>IFERROR(__xludf.DUMMYFUNCTION("""COMPUTED_VALUE"""),"")</f>
        <v/>
      </c>
      <c r="I13" s="176" t="str">
        <f>IFERROR(__xludf.DUMMYFUNCTION("""COMPUTED_VALUE"""),"")</f>
        <v/>
      </c>
      <c r="J13" s="141"/>
    </row>
    <row r="14" ht="60.0" customHeight="1">
      <c r="A14" s="141"/>
      <c r="B14" s="169" t="str">
        <f>IFERROR(__xludf.DUMMYFUNCTION("""COMPUTED_VALUE"""),"Thursday")</f>
        <v>Thursday</v>
      </c>
      <c r="C14" s="174" t="str">
        <f>IFERROR(__xludf.DUMMYFUNCTION("""COMPUTED_VALUE"""),"")</f>
        <v/>
      </c>
      <c r="D14" s="175" t="str">
        <f>IFERROR(__xludf.DUMMYFUNCTION("""COMPUTED_VALUE"""),"")</f>
        <v/>
      </c>
      <c r="E14" s="175" t="str">
        <f>IFERROR(__xludf.DUMMYFUNCTION("""COMPUTED_VALUE"""),"")</f>
        <v/>
      </c>
      <c r="F14" s="175" t="str">
        <f>IFERROR(__xludf.DUMMYFUNCTION("""COMPUTED_VALUE"""),"")</f>
        <v/>
      </c>
      <c r="G14" s="175" t="str">
        <f>IFERROR(__xludf.DUMMYFUNCTION("""COMPUTED_VALUE"""),"")</f>
        <v/>
      </c>
      <c r="H14" s="175" t="str">
        <f>IFERROR(__xludf.DUMMYFUNCTION("""COMPUTED_VALUE"""),"")</f>
        <v/>
      </c>
      <c r="I14" s="176" t="str">
        <f>IFERROR(__xludf.DUMMYFUNCTION("""COMPUTED_VALUE"""),"")</f>
        <v/>
      </c>
      <c r="J14" s="141"/>
    </row>
    <row r="15" ht="60.0" customHeight="1">
      <c r="A15" s="141"/>
      <c r="B15" s="178" t="str">
        <f>IFERROR(__xludf.DUMMYFUNCTION("""COMPUTED_VALUE"""),"Friday")</f>
        <v>Friday</v>
      </c>
      <c r="C15" s="179" t="str">
        <f>IFERROR(__xludf.DUMMYFUNCTION("""COMPUTED_VALUE"""),"")</f>
        <v/>
      </c>
      <c r="D15" s="180" t="str">
        <f>IFERROR(__xludf.DUMMYFUNCTION("""COMPUTED_VALUE"""),"")</f>
        <v/>
      </c>
      <c r="E15" s="180" t="str">
        <f>IFERROR(__xludf.DUMMYFUNCTION("""COMPUTED_VALUE"""),"")</f>
        <v/>
      </c>
      <c r="F15" s="180" t="str">
        <f>IFERROR(__xludf.DUMMYFUNCTION("""COMPUTED_VALUE"""),"")</f>
        <v/>
      </c>
      <c r="G15" s="180" t="str">
        <f>IFERROR(__xludf.DUMMYFUNCTION("""COMPUTED_VALUE"""),"")</f>
        <v/>
      </c>
      <c r="H15" s="180" t="str">
        <f>IFERROR(__xludf.DUMMYFUNCTION("""COMPUTED_VALUE"""),"")</f>
        <v/>
      </c>
      <c r="I15" s="181" t="str">
        <f>IFERROR(__xludf.DUMMYFUNCTION("""COMPUTED_VALUE"""),"")</f>
        <v/>
      </c>
      <c r="J15" s="141"/>
    </row>
    <row r="16" ht="22.5" customHeight="1">
      <c r="A16" s="141"/>
      <c r="B16" s="182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C16" s="183"/>
      <c r="D16" s="183"/>
      <c r="E16" s="183"/>
      <c r="F16" s="183"/>
      <c r="G16" s="183"/>
      <c r="H16" s="183"/>
      <c r="I16" s="184"/>
      <c r="J16" s="141"/>
    </row>
    <row r="17" ht="22.5" customHeight="1">
      <c r="A17" s="141"/>
      <c r="B17" s="185" t="str">
        <f>IFERROR(__xludf.DUMMYFUNCTION("""COMPUTED_VALUE"""),"**You can edit this footnote")</f>
        <v>**You can edit this footnote</v>
      </c>
      <c r="C17" s="186"/>
      <c r="D17" s="186"/>
      <c r="E17" s="186"/>
      <c r="F17" s="186"/>
      <c r="G17" s="186"/>
      <c r="H17" s="186"/>
      <c r="I17" s="187"/>
      <c r="J17" s="141"/>
    </row>
    <row r="18" ht="22.5" customHeight="1">
      <c r="A18" s="141"/>
      <c r="B18" s="7"/>
      <c r="C18" s="7"/>
      <c r="D18" s="7"/>
      <c r="E18" s="7"/>
      <c r="F18" s="7"/>
      <c r="G18" s="7"/>
      <c r="H18" s="7"/>
      <c r="I18" s="7"/>
      <c r="J18" s="141"/>
    </row>
    <row r="19" ht="22.5" customHeight="1">
      <c r="A19" s="140"/>
      <c r="B19" s="6"/>
      <c r="C19" s="6"/>
      <c r="D19" s="6"/>
      <c r="E19" s="6"/>
      <c r="F19" s="6"/>
      <c r="G19" s="6"/>
      <c r="H19" s="6"/>
      <c r="I19" s="6"/>
      <c r="J19" s="140"/>
    </row>
    <row r="20" ht="22.5" customHeight="1">
      <c r="A20" s="140"/>
      <c r="B20" s="188"/>
      <c r="C20" s="143"/>
      <c r="D20" s="143"/>
      <c r="E20" s="143"/>
      <c r="F20" s="143"/>
      <c r="G20" s="143"/>
      <c r="H20" s="143"/>
      <c r="I20" s="144"/>
      <c r="J20" s="140"/>
    </row>
    <row r="21" ht="22.5" customHeight="1">
      <c r="A21" s="140"/>
      <c r="B21" s="189" t="str">
        <f>IFERROR(__xludf.DUMMYFUNCTION("""COMPUTED_VALUE"""),"Consultation Hour Planner    -    SPRING 2026")</f>
        <v>Consultation Hour Planner    -    SPRING 2026</v>
      </c>
      <c r="C21" s="146"/>
      <c r="D21" s="146"/>
      <c r="E21" s="146"/>
      <c r="F21" s="146"/>
      <c r="G21" s="146"/>
      <c r="H21" s="146"/>
      <c r="I21" s="147"/>
      <c r="J21" s="140"/>
    </row>
    <row r="22" ht="22.5" customHeight="1">
      <c r="A22" s="140"/>
      <c r="B22" s="190"/>
      <c r="C22" s="149" t="str">
        <f>IFERROR(__xludf.DUMMYFUNCTION("""COMPUTED_VALUE"""),"Faculty:")</f>
        <v>Faculty:</v>
      </c>
      <c r="D22" s="150" t="str">
        <f>IFERROR(__xludf.DUMMYFUNCTION("""COMPUTED_VALUE"""),"Mr. Avinandan Banerjee")</f>
        <v>Mr. Avinandan Banerjee</v>
      </c>
      <c r="E22" s="151"/>
      <c r="F22" s="152"/>
      <c r="G22" s="153" t="str">
        <f>IFERROR(__xludf.DUMMYFUNCTION("""COMPUTED_VALUE"""),"Initial:")</f>
        <v>Initial:</v>
      </c>
      <c r="H22" s="191" t="str">
        <f>IFERROR(__xludf.DUMMYFUNCTION("""COMPUTED_VALUE"""),"AVB")</f>
        <v>AVB</v>
      </c>
      <c r="I22" s="192"/>
      <c r="J22" s="140"/>
    </row>
    <row r="23" ht="22.5" customHeight="1">
      <c r="A23" s="140"/>
      <c r="B23" s="190"/>
      <c r="C23" s="156" t="str">
        <f>IFERROR(__xludf.DUMMYFUNCTION("""COMPUTED_VALUE"""),"Email:")</f>
        <v>Email:</v>
      </c>
      <c r="D23" s="157" t="str">
        <f>IFERROR(__xludf.DUMMYFUNCTION("""COMPUTED_VALUE"""),"avinandan@bracu.ac.bd")</f>
        <v>avinandan@bracu.ac.bd</v>
      </c>
      <c r="E23" s="158"/>
      <c r="F23" s="159"/>
      <c r="G23" s="160" t="str">
        <f>IFERROR(__xludf.DUMMYFUNCTION("""COMPUTED_VALUE"""),"Room/Desk:")</f>
        <v>Room/Desk:</v>
      </c>
      <c r="H23" s="161" t="str">
        <f>IFERROR(__xludf.DUMMYFUNCTION("""COMPUTED_VALUE"""),"4M118")</f>
        <v>4M118</v>
      </c>
      <c r="I23" s="192"/>
      <c r="J23" s="140"/>
    </row>
    <row r="24" ht="22.5" customHeight="1">
      <c r="A24" s="140"/>
      <c r="B24" s="193"/>
      <c r="C24" s="194"/>
      <c r="D24" s="195"/>
      <c r="E24" s="194"/>
      <c r="F24" s="194"/>
      <c r="G24" s="194"/>
      <c r="H24" s="194"/>
      <c r="I24" s="196"/>
      <c r="J24" s="140"/>
    </row>
    <row r="25" ht="22.5" customHeight="1">
      <c r="A25" s="140"/>
      <c r="B25" s="197"/>
      <c r="C25" s="167" t="str">
        <f>IFERROR(__xludf.DUMMYFUNCTION("""COMPUTED_VALUE"""),"8:00 AM")</f>
        <v>8:00 AM</v>
      </c>
      <c r="D25" s="167" t="str">
        <f>IFERROR(__xludf.DUMMYFUNCTION("""COMPUTED_VALUE"""),"9:30 AM")</f>
        <v>9:30 AM</v>
      </c>
      <c r="E25" s="167" t="str">
        <f>IFERROR(__xludf.DUMMYFUNCTION("""COMPUTED_VALUE"""),"11:00 AM")</f>
        <v>11:00 AM</v>
      </c>
      <c r="F25" s="167" t="str">
        <f>IFERROR(__xludf.DUMMYFUNCTION("""COMPUTED_VALUE"""),"12:30 PM")</f>
        <v>12:30 PM</v>
      </c>
      <c r="G25" s="167" t="str">
        <f>IFERROR(__xludf.DUMMYFUNCTION("""COMPUTED_VALUE"""),"2:00 PM")</f>
        <v>2:00 PM</v>
      </c>
      <c r="H25" s="167" t="str">
        <f>IFERROR(__xludf.DUMMYFUNCTION("""COMPUTED_VALUE"""),"3:30 PM")</f>
        <v>3:30 PM</v>
      </c>
      <c r="I25" s="168" t="str">
        <f>IFERROR(__xludf.DUMMYFUNCTION("""COMPUTED_VALUE"""),"5:00 PM")</f>
        <v>5:00 PM</v>
      </c>
      <c r="J25" s="140"/>
    </row>
    <row r="26" ht="60.0" customHeight="1">
      <c r="A26" s="140"/>
      <c r="B26" s="169" t="str">
        <f>IFERROR(__xludf.DUMMYFUNCTION("""COMPUTED_VALUE"""),"Saturday")</f>
        <v>Saturday</v>
      </c>
      <c r="C26" s="170" t="str">
        <f>IFERROR(__xludf.DUMMYFUNCTION("""COMPUTED_VALUE"""),"CSE420-02
10B-13C")</f>
        <v>CSE420-02
10B-13C</v>
      </c>
      <c r="D26" s="171" t="str">
        <f>IFERROR(__xludf.DUMMYFUNCTION("""COMPUTED_VALUE"""),"CSE420-09
10B-13C")</f>
        <v>CSE420-09
10B-13C</v>
      </c>
      <c r="E26" s="171" t="str">
        <f>IFERROR(__xludf.DUMMYFUNCTION("""COMPUTED_VALUE"""),"Consultation")</f>
        <v>Consultation</v>
      </c>
      <c r="F26" s="171" t="str">
        <f>IFERROR(__xludf.DUMMYFUNCTION("""COMPUTED_VALUE"""),"CSE230-07
10B-13C")</f>
        <v>CSE230-07
10B-13C</v>
      </c>
      <c r="G26" s="171" t="str">
        <f>IFERROR(__xludf.DUMMYFUNCTION("""COMPUTED_VALUE"""),"Consultation")</f>
        <v>Consultation</v>
      </c>
      <c r="H26" s="171" t="str">
        <f>IFERROR(__xludf.DUMMYFUNCTION("""COMPUTED_VALUE"""),"")</f>
        <v/>
      </c>
      <c r="I26" s="173" t="str">
        <f>IFERROR(__xludf.DUMMYFUNCTION("""COMPUTED_VALUE"""),"")</f>
        <v/>
      </c>
      <c r="J26" s="140"/>
    </row>
    <row r="27" ht="60.0" customHeight="1">
      <c r="A27" s="140"/>
      <c r="B27" s="169" t="str">
        <f>IFERROR(__xludf.DUMMYFUNCTION("""COMPUTED_VALUE"""),"Sunday")</f>
        <v>Sunday</v>
      </c>
      <c r="C27" s="174" t="str">
        <f>IFERROR(__xludf.DUMMYFUNCTION("""COMPUTED_VALUE"""),"")</f>
        <v/>
      </c>
      <c r="D27" s="175" t="str">
        <f>IFERROR(__xludf.DUMMYFUNCTION("""COMPUTED_VALUE"""),"")</f>
        <v/>
      </c>
      <c r="E27" s="175" t="str">
        <f>IFERROR(__xludf.DUMMYFUNCTION("""COMPUTED_VALUE"""),"")</f>
        <v/>
      </c>
      <c r="F27" s="175" t="str">
        <f>IFERROR(__xludf.DUMMYFUNCTION("""COMPUTED_VALUE"""),"")</f>
        <v/>
      </c>
      <c r="G27" s="175" t="str">
        <f>IFERROR(__xludf.DUMMYFUNCTION("""COMPUTED_VALUE"""),"Consultation
by appointment")</f>
        <v>Consultation
by appointment</v>
      </c>
      <c r="H27" s="175" t="str">
        <f>IFERROR(__xludf.DUMMYFUNCTION("""COMPUTED_VALUE"""),"")</f>
        <v/>
      </c>
      <c r="I27" s="176" t="str">
        <f>IFERROR(__xludf.DUMMYFUNCTION("""COMPUTED_VALUE"""),"")</f>
        <v/>
      </c>
      <c r="J27" s="140"/>
    </row>
    <row r="28" ht="60.0" customHeight="1">
      <c r="A28" s="140"/>
      <c r="B28" s="169" t="str">
        <f>IFERROR(__xludf.DUMMYFUNCTION("""COMPUTED_VALUE"""),"Monday")</f>
        <v>Monday</v>
      </c>
      <c r="C28" s="177" t="str">
        <f>IFERROR(__xludf.DUMMYFUNCTION("""COMPUTED_VALUE"""),"")</f>
        <v/>
      </c>
      <c r="D28" s="175" t="str">
        <f>IFERROR(__xludf.DUMMYFUNCTION("""COMPUTED_VALUE"""),"")</f>
        <v/>
      </c>
      <c r="E28" s="175" t="str">
        <f>IFERROR(__xludf.DUMMYFUNCTION("""COMPUTED_VALUE"""),"")</f>
        <v/>
      </c>
      <c r="F28" s="175" t="str">
        <f>IFERROR(__xludf.DUMMYFUNCTION("""COMPUTED_VALUE"""),"")</f>
        <v/>
      </c>
      <c r="G28" s="175" t="str">
        <f>IFERROR(__xludf.DUMMYFUNCTION("""COMPUTED_VALUE"""),"Consultation
by appointment")</f>
        <v>Consultation
by appointment</v>
      </c>
      <c r="H28" s="175" t="str">
        <f>IFERROR(__xludf.DUMMYFUNCTION("""COMPUTED_VALUE"""),"")</f>
        <v/>
      </c>
      <c r="I28" s="176" t="str">
        <f>IFERROR(__xludf.DUMMYFUNCTION("""COMPUTED_VALUE"""),"")</f>
        <v/>
      </c>
      <c r="J28" s="140"/>
    </row>
    <row r="29" ht="60.0" customHeight="1">
      <c r="A29" s="140"/>
      <c r="B29" s="169" t="str">
        <f>IFERROR(__xludf.DUMMYFUNCTION("""COMPUTED_VALUE"""),"Tuesday")</f>
        <v>Tuesday</v>
      </c>
      <c r="C29" s="174" t="str">
        <f>IFERROR(__xludf.DUMMYFUNCTION("""COMPUTED_VALUE"""),"CSE111-15 (LAB)
AFA,AVB
09B-10L")</f>
        <v>CSE111-15 (LAB)
AFA,AVB
09B-10L</v>
      </c>
      <c r="D29" s="175" t="str">
        <f>IFERROR(__xludf.DUMMYFUNCTION("""COMPUTED_VALUE"""),"CSE111-15 (LAB)
AFA,AVB
09B-10L")</f>
        <v>CSE111-15 (LAB)
AFA,AVB
09B-10L</v>
      </c>
      <c r="E29" s="175" t="str">
        <f>IFERROR(__xludf.DUMMYFUNCTION("""COMPUTED_VALUE"""),"CSE111-06 (LAB)
FGZ,AVB
09B-09L")</f>
        <v>CSE111-06 (LAB)
FGZ,AVB
09B-09L</v>
      </c>
      <c r="F29" s="175" t="str">
        <f>IFERROR(__xludf.DUMMYFUNCTION("""COMPUTED_VALUE"""),"CSE111-06 (LAB)
FGZ,AVB
09B-09L")</f>
        <v>CSE111-06 (LAB)
FGZ,AVB
09B-09L</v>
      </c>
      <c r="G29" s="175" t="str">
        <f>IFERROR(__xludf.DUMMYFUNCTION("""COMPUTED_VALUE"""),"Consultation")</f>
        <v>Consultation</v>
      </c>
      <c r="H29" s="175" t="str">
        <f>IFERROR(__xludf.DUMMYFUNCTION("""COMPUTED_VALUE"""),"")</f>
        <v/>
      </c>
      <c r="I29" s="176" t="str">
        <f>IFERROR(__xludf.DUMMYFUNCTION("""COMPUTED_VALUE"""),"")</f>
        <v/>
      </c>
      <c r="J29" s="140"/>
    </row>
    <row r="30" ht="60.0" customHeight="1">
      <c r="A30" s="140"/>
      <c r="B30" s="169" t="str">
        <f>IFERROR(__xludf.DUMMYFUNCTION("""COMPUTED_VALUE"""),"Wednesday")</f>
        <v>Wednesday</v>
      </c>
      <c r="C30" s="177" t="str">
        <f>IFERROR(__xludf.DUMMYFUNCTION("""COMPUTED_VALUE"""),"CSE111-10 (LAB)
AVB,QUZA
09F-27L")</f>
        <v>CSE111-10 (LAB)
AVB,QUZA
09F-27L</v>
      </c>
      <c r="D30" s="175" t="str">
        <f>IFERROR(__xludf.DUMMYFUNCTION("""COMPUTED_VALUE"""),"CSE111-10 (LAB)
AVB,QUZA
09F-27L")</f>
        <v>CSE111-10 (LAB)
AVB,QUZA
09F-27L</v>
      </c>
      <c r="E30" s="175" t="str">
        <f>IFERROR(__xludf.DUMMYFUNCTION("""COMPUTED_VALUE"""),"CSE111-11 (LAB)
AVB,FEK
09F-27L")</f>
        <v>CSE111-11 (LAB)
AVB,FEK
09F-27L</v>
      </c>
      <c r="F30" s="175" t="str">
        <f>IFERROR(__xludf.DUMMYFUNCTION("""COMPUTED_VALUE"""),"CSE111-11 (LAB)
AVB,FEK
09F-27L")</f>
        <v>CSE111-11 (LAB)
AVB,FEK
09F-27L</v>
      </c>
      <c r="G30" s="175" t="str">
        <f>IFERROR(__xludf.DUMMYFUNCTION("""COMPUTED_VALUE"""),"Consultation")</f>
        <v>Consultation</v>
      </c>
      <c r="H30" s="175" t="str">
        <f>IFERROR(__xludf.DUMMYFUNCTION("""COMPUTED_VALUE"""),"")</f>
        <v/>
      </c>
      <c r="I30" s="176" t="str">
        <f>IFERROR(__xludf.DUMMYFUNCTION("""COMPUTED_VALUE"""),"")</f>
        <v/>
      </c>
      <c r="J30" s="140"/>
    </row>
    <row r="31" ht="60.0" customHeight="1">
      <c r="A31" s="140"/>
      <c r="B31" s="169" t="str">
        <f>IFERROR(__xludf.DUMMYFUNCTION("""COMPUTED_VALUE"""),"Thursday")</f>
        <v>Thursday</v>
      </c>
      <c r="C31" s="174" t="str">
        <f>IFERROR(__xludf.DUMMYFUNCTION("""COMPUTED_VALUE"""),"CSE420-02
10B-13C")</f>
        <v>CSE420-02
10B-13C</v>
      </c>
      <c r="D31" s="175" t="str">
        <f>IFERROR(__xludf.DUMMYFUNCTION("""COMPUTED_VALUE"""),"CSE420-09
10B-13C")</f>
        <v>CSE420-09
10B-13C</v>
      </c>
      <c r="E31" s="175" t="str">
        <f>IFERROR(__xludf.DUMMYFUNCTION("""COMPUTED_VALUE"""),"Consultation")</f>
        <v>Consultation</v>
      </c>
      <c r="F31" s="175" t="str">
        <f>IFERROR(__xludf.DUMMYFUNCTION("""COMPUTED_VALUE"""),"CSE230-07
10B-13C")</f>
        <v>CSE230-07
10B-13C</v>
      </c>
      <c r="G31" s="175" t="str">
        <f>IFERROR(__xludf.DUMMYFUNCTION("""COMPUTED_VALUE"""),"Consultation")</f>
        <v>Consultation</v>
      </c>
      <c r="H31" s="175" t="str">
        <f>IFERROR(__xludf.DUMMYFUNCTION("""COMPUTED_VALUE"""),"")</f>
        <v/>
      </c>
      <c r="I31" s="176" t="str">
        <f>IFERROR(__xludf.DUMMYFUNCTION("""COMPUTED_VALUE"""),"")</f>
        <v/>
      </c>
      <c r="J31" s="140"/>
    </row>
    <row r="32" ht="60.0" customHeight="1">
      <c r="A32" s="140"/>
      <c r="B32" s="178" t="str">
        <f>IFERROR(__xludf.DUMMYFUNCTION("""COMPUTED_VALUE"""),"Friday")</f>
        <v>Friday</v>
      </c>
      <c r="C32" s="179" t="str">
        <f>IFERROR(__xludf.DUMMYFUNCTION("""COMPUTED_VALUE"""),"")</f>
        <v/>
      </c>
      <c r="D32" s="180" t="str">
        <f>IFERROR(__xludf.DUMMYFUNCTION("""COMPUTED_VALUE"""),"")</f>
        <v/>
      </c>
      <c r="E32" s="180" t="str">
        <f>IFERROR(__xludf.DUMMYFUNCTION("""COMPUTED_VALUE"""),"")</f>
        <v/>
      </c>
      <c r="F32" s="180" t="str">
        <f>IFERROR(__xludf.DUMMYFUNCTION("""COMPUTED_VALUE"""),"")</f>
        <v/>
      </c>
      <c r="G32" s="180" t="str">
        <f>IFERROR(__xludf.DUMMYFUNCTION("""COMPUTED_VALUE"""),"")</f>
        <v/>
      </c>
      <c r="H32" s="180" t="str">
        <f>IFERROR(__xludf.DUMMYFUNCTION("""COMPUTED_VALUE"""),"")</f>
        <v/>
      </c>
      <c r="I32" s="181" t="str">
        <f>IFERROR(__xludf.DUMMYFUNCTION("""COMPUTED_VALUE"""),"")</f>
        <v/>
      </c>
      <c r="J32" s="140"/>
    </row>
    <row r="33" ht="22.5" customHeight="1">
      <c r="A33" s="140"/>
      <c r="B33" s="182" t="str">
        <f>IFERROR(__xludf.DUMMYFUNCTION("""COMPUTED_VALUE"""),"** Each slot is of 1 hour 20 minutes. During Ramadan, each slot is 1 hour 5 minutes.")</f>
        <v>** Each slot is of 1 hour 20 minutes. During Ramadan, each slot is 1 hour 5 minutes.</v>
      </c>
      <c r="C33" s="183"/>
      <c r="D33" s="183"/>
      <c r="E33" s="183"/>
      <c r="F33" s="183"/>
      <c r="G33" s="183"/>
      <c r="H33" s="183"/>
      <c r="I33" s="184"/>
      <c r="J33" s="140"/>
    </row>
    <row r="34" ht="22.5" customHeight="1">
      <c r="A34" s="140"/>
      <c r="B34" s="185" t="str">
        <f>IFERROR(__xludf.DUMMYFUNCTION("""COMPUTED_VALUE"""),"** In case you do not find me at my desk, DM me in Slack / Discord or send an email.")</f>
        <v>** In case you do not find me at my desk, DM me in Slack / Discord or send an email.</v>
      </c>
      <c r="C34" s="186"/>
      <c r="D34" s="186"/>
      <c r="E34" s="186"/>
      <c r="F34" s="186"/>
      <c r="G34" s="186"/>
      <c r="H34" s="186"/>
      <c r="I34" s="187"/>
      <c r="J34" s="140"/>
    </row>
    <row r="35" ht="22.5" customHeight="1">
      <c r="A35" s="140"/>
      <c r="B35" s="140"/>
      <c r="C35" s="140"/>
      <c r="D35" s="140"/>
      <c r="E35" s="140"/>
      <c r="F35" s="140"/>
      <c r="G35" s="140"/>
      <c r="H35" s="140"/>
      <c r="I35" s="140"/>
      <c r="J35" s="140"/>
    </row>
    <row r="36" ht="22.5" customHeight="1">
      <c r="A36" s="140"/>
      <c r="B36" s="140"/>
      <c r="C36" s="140"/>
      <c r="D36" s="140"/>
      <c r="E36" s="140"/>
      <c r="F36" s="140"/>
      <c r="G36" s="140"/>
      <c r="H36" s="140"/>
      <c r="I36" s="140"/>
      <c r="J36" s="140"/>
    </row>
  </sheetData>
  <mergeCells count="12">
    <mergeCell ref="B21:I21"/>
    <mergeCell ref="D22:F22"/>
    <mergeCell ref="D23:F23"/>
    <mergeCell ref="B33:I33"/>
    <mergeCell ref="B34:I34"/>
    <mergeCell ref="B3:I3"/>
    <mergeCell ref="B4:I4"/>
    <mergeCell ref="D5:F5"/>
    <mergeCell ref="D6:F6"/>
    <mergeCell ref="B16:I16"/>
    <mergeCell ref="B17:I17"/>
    <mergeCell ref="B20:I20"/>
  </mergeCells>
  <conditionalFormatting sqref="C9:I15 C26:I32">
    <cfRule type="expression" dxfId="6" priority="1">
      <formula>REGEXMATCH(C9, "(?i)consultation")</formula>
    </cfRule>
  </conditionalFormatting>
  <conditionalFormatting sqref="C9:I15 C26:I32">
    <cfRule type="expression" dxfId="13" priority="2">
      <formula>NOT(EQ(C9, ""))</formula>
    </cfRule>
  </conditionalFormatting>
  <conditionalFormatting sqref="B9:I15 B26:I32">
    <cfRule type="expression" dxfId="14" priority="3">
      <formula>(EQ(TEXTJOIN(";",TRUE,$C9:$I9), ""))</formula>
    </cfRule>
  </conditionalFormatting>
  <drawing r:id="rId1"/>
</worksheet>
</file>