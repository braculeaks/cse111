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&quot;mmm&quot; &quot;yyyy&quot; &quot;"/>
    <numFmt numFmtId="165" formatCode="d&quot; &quot;mmm"/>
  </numFmts>
  <fonts count="4">
    <font>
      <sz val="10.0"/>
      <color rgb="FF000000"/>
      <name val="Arial"/>
      <scheme val="minor"/>
    </font>
    <font>
      <b/>
      <sz val="14.0"/>
      <color theme="1"/>
      <name val="Lora"/>
    </font>
    <font>
      <color theme="1"/>
      <name val="Arial"/>
      <scheme val="minor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980000"/>
        <bgColor rgb="FF980000"/>
      </patternFill>
    </fill>
    <fill>
      <patternFill patternType="solid">
        <fgColor rgb="FFD9D2E9"/>
        <bgColor rgb="FFD9D2E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3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ill="1" applyFont="1">
      <alignment horizontal="center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2" fillId="3" fontId="3" numFmtId="0" xfId="0" applyAlignment="1" applyBorder="1" applyFont="1">
      <alignment horizontal="center" shrinkToFit="0" vertical="center" wrapText="0"/>
    </xf>
    <xf borderId="3" fillId="4" fontId="3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ont="1">
      <alignment horizontal="center" shrinkToFit="0" vertical="center" wrapText="0"/>
    </xf>
    <xf borderId="2" fillId="4" fontId="3" numFmtId="0" xfId="0" applyAlignment="1" applyBorder="1" applyFont="1">
      <alignment horizontal="center" shrinkToFit="0" vertical="center" wrapText="0"/>
    </xf>
    <xf borderId="3" fillId="5" fontId="3" numFmtId="0" xfId="0" applyAlignment="1" applyBorder="1" applyFill="1" applyFont="1">
      <alignment horizontal="center" shrinkToFit="0" vertical="center" wrapText="0"/>
    </xf>
    <xf borderId="1" fillId="5" fontId="3" numFmtId="0" xfId="0" applyAlignment="1" applyBorder="1" applyFont="1">
      <alignment horizontal="center" shrinkToFit="0" vertical="center" wrapText="0"/>
    </xf>
    <xf borderId="2" fillId="5" fontId="3" numFmtId="0" xfId="0" applyAlignment="1" applyBorder="1" applyFont="1">
      <alignment horizontal="center" shrinkToFit="0" vertical="center" wrapText="0"/>
    </xf>
    <xf borderId="3" fillId="6" fontId="3" numFmtId="0" xfId="0" applyAlignment="1" applyBorder="1" applyFill="1" applyFont="1">
      <alignment horizontal="center" shrinkToFit="0" vertical="center" wrapText="0"/>
    </xf>
    <xf borderId="1" fillId="6" fontId="3" numFmtId="164" xfId="0" applyAlignment="1" applyBorder="1" applyFont="1" applyNumberFormat="1">
      <alignment horizontal="center" shrinkToFit="0" vertical="center" wrapText="0"/>
    </xf>
    <xf borderId="2" fillId="6" fontId="3" numFmtId="164" xfId="0" applyAlignment="1" applyBorder="1" applyFont="1" applyNumberFormat="1">
      <alignment horizontal="center" shrinkToFit="0" vertical="center" wrapText="0"/>
    </xf>
    <xf borderId="3" fillId="7" fontId="3" numFmtId="164" xfId="0" applyAlignment="1" applyBorder="1" applyFill="1" applyFont="1" applyNumberForma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0"/>
    </xf>
    <xf borderId="0" fillId="0" fontId="2" numFmtId="164" xfId="0" applyFont="1" applyNumberFormat="1"/>
    <xf borderId="3" fillId="0" fontId="3" numFmtId="0" xfId="0" applyAlignment="1" applyBorder="1" applyFont="1">
      <alignment horizontal="center" shrinkToFit="0" vertical="center" wrapText="0"/>
    </xf>
    <xf borderId="3" fillId="3" fontId="3" numFmtId="165" xfId="0" applyAlignment="1" applyBorder="1" applyFont="1" applyNumberFormat="1">
      <alignment horizontal="center" shrinkToFit="0" vertical="center" wrapText="0"/>
    </xf>
    <xf borderId="1" fillId="3" fontId="3" numFmtId="165" xfId="0" applyAlignment="1" applyBorder="1" applyFont="1" applyNumberFormat="1">
      <alignment horizontal="center" shrinkToFit="0" vertical="center" wrapText="0"/>
    </xf>
    <xf borderId="1" fillId="3" fontId="3" numFmtId="165" xfId="0" applyAlignment="1" applyBorder="1" applyFont="1" applyNumberFormat="1">
      <alignment horizontal="center" shrinkToFit="0" vertical="center" wrapText="0"/>
    </xf>
    <xf borderId="2" fillId="3" fontId="3" numFmtId="165" xfId="0" applyAlignment="1" applyBorder="1" applyFont="1" applyNumberFormat="1">
      <alignment horizontal="center" shrinkToFit="0" vertical="center" wrapText="0"/>
    </xf>
    <xf borderId="3" fillId="4" fontId="3" numFmtId="165" xfId="0" applyAlignment="1" applyBorder="1" applyFont="1" applyNumberFormat="1">
      <alignment horizontal="center" shrinkToFit="0" vertical="center" wrapText="0"/>
    </xf>
    <xf borderId="1" fillId="4" fontId="3" numFmtId="165" xfId="0" applyAlignment="1" applyBorder="1" applyFont="1" applyNumberFormat="1">
      <alignment horizontal="center" shrinkToFit="0" vertical="center" wrapText="0"/>
    </xf>
    <xf borderId="2" fillId="4" fontId="3" numFmtId="165" xfId="0" applyAlignment="1" applyBorder="1" applyFont="1" applyNumberFormat="1">
      <alignment horizontal="center" shrinkToFit="0" vertical="center" wrapText="0"/>
    </xf>
    <xf borderId="1" fillId="6" fontId="3" numFmtId="165" xfId="0" applyAlignment="1" applyBorder="1" applyFont="1" applyNumberFormat="1">
      <alignment horizontal="center" shrinkToFit="0" vertical="center" wrapText="0"/>
    </xf>
    <xf borderId="2" fillId="6" fontId="3" numFmtId="165" xfId="0" applyAlignment="1" applyBorder="1" applyFont="1" applyNumberFormat="1">
      <alignment horizontal="center" shrinkToFit="0" vertical="center" wrapText="0"/>
    </xf>
    <xf borderId="3" fillId="7" fontId="3" numFmtId="165" xfId="0" applyAlignment="1" applyBorder="1" applyFont="1" applyNumberFormat="1">
      <alignment horizontal="center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2" fillId="0" fontId="3" numFmtId="0" xfId="0" applyAlignment="1" applyBorder="1" applyFont="1">
      <alignment horizontal="left" shrinkToFit="0" vertical="center" wrapText="0"/>
    </xf>
    <xf borderId="1" fillId="0" fontId="3" numFmtId="49" xfId="0" applyAlignment="1" applyBorder="1" applyFont="1" applyNumberForma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0"/>
    <col hidden="1" min="4" max="23" width="12.63"/>
  </cols>
  <sheetData>
    <row r="1">
      <c r="A1" s="1" t="str">
        <f>IFERROR(__xludf.DUMMYFUNCTION("IMPORTRANGE(""https://docs.google.com/spreadsheets/d/1ydldddTNp7Nv94tmiB0MtUc-p1wZiYwC4QK7YXviwq0/edit?gid=520122117#gid=520122117"", ""Sec13!A1:BE45"")"),"")</f>
        <v/>
      </c>
      <c r="B1" s="1" t="str">
        <f>IFERROR(__xludf.DUMMYFUNCTION("""COMPUTED_VALUE"""),"Semester: SPRING 2026")</f>
        <v>Semester: SPRING 2026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>
      <c r="A2" s="1"/>
      <c r="B2" s="1" t="str">
        <f>IFERROR(__xludf.DUMMYFUNCTION("""COMPUTED_VALUE"""),"Course Code: CSE111")</f>
        <v>Course Code: CSE111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>
      <c r="A3" s="1"/>
      <c r="B3" s="1" t="str">
        <f>IFERROR(__xludf.DUMMYFUNCTION("""COMPUTED_VALUE"""),"Section: 13")</f>
        <v>Section: 13</v>
      </c>
      <c r="C3" s="1" t="str">
        <f>IFERROR(__xludf.DUMMYFUNCTION("""COMPUTED_VALUE"""),"Lab Day: WED 2:00 PM")</f>
        <v>Lab Day: WED 2:00 PM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>
      <c r="A4" s="1"/>
      <c r="B4" s="1" t="str">
        <f>IFERROR(__xludf.DUMMYFUNCTION("""COMPUTED_VALUE"""),"Theory Faculty: RKBM [mohammad.rakibul@bracu.ac.bd]")</f>
        <v>Theory Faculty: RKBM [mohammad.rakibul@bracu.ac.bd]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>
      <c r="A5" s="1"/>
      <c r="B5" s="1" t="str">
        <f>IFERROR(__xludf.DUMMYFUNCTION("""COMPUTED_VALUE"""),"Lab Faculty: ATY,CSSA   Emails: ateya.ahmed@bracu.ac.bd,ext.sadman.alif@bracu.ac.bd")</f>
        <v>Lab Faculty: ATY,CSSA   Emails: ateya.ahmed@bracu.ac.bd,ext.sadman.alif@bracu.ac.bd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>
      <c r="A6" s="2"/>
      <c r="B6" s="2"/>
      <c r="C6" s="2"/>
      <c r="D6" s="2"/>
      <c r="E6" s="2"/>
      <c r="F6" s="2"/>
      <c r="G6" s="2"/>
      <c r="H6" s="2" t="str">
        <f>IFERROR(__xludf.DUMMYFUNCTION("""COMPUTED_VALUE"""),"Attendance [ 1 = present, 0 = absent, S = sick/considered ]")</f>
        <v>Attendance [ 1 = present, 0 = absent, S = sick/considered ]</v>
      </c>
      <c r="I6" s="2"/>
      <c r="J6" s="2"/>
      <c r="K6" s="2"/>
      <c r="L6" s="2"/>
      <c r="M6" s="2"/>
      <c r="N6" s="2"/>
      <c r="O6" s="2"/>
      <c r="P6" s="2" t="str">
        <f>IFERROR(__xludf.DUMMYFUNCTION("""COMPUTED_VALUE"""),"Lab Evaluation (5)")</f>
        <v>Lab Evaluation (5)</v>
      </c>
      <c r="Q6" s="2"/>
      <c r="R6" s="2"/>
      <c r="S6" s="2"/>
      <c r="T6" s="2"/>
      <c r="U6" s="2"/>
      <c r="V6" s="2"/>
      <c r="W6" s="2"/>
      <c r="X6" s="2" t="str">
        <f>IFERROR(__xludf.DUMMYFUNCTION("""COMPUTED_VALUE"""),"Lab Assignment (5)")</f>
        <v>Lab Assignment (5)</v>
      </c>
      <c r="Y6" s="2"/>
      <c r="Z6" s="2"/>
      <c r="AA6" s="2"/>
      <c r="AB6" s="2"/>
      <c r="AC6" s="2"/>
      <c r="AD6" s="2"/>
      <c r="AE6" s="2"/>
      <c r="AF6" s="2" t="str">
        <f>IFERROR(__xludf.DUMMYFUNCTION("""COMPUTED_VALUE"""),"Lab Exams (10) [P = Plagiarism]")</f>
        <v>Lab Exams (10) [P = Plagiarism]</v>
      </c>
      <c r="AG6" s="2"/>
      <c r="AH6" s="2"/>
      <c r="AI6" s="2"/>
      <c r="AJ6" s="2"/>
      <c r="AK6" s="2" t="str">
        <f>IFERROR(__xludf.DUMMYFUNCTION("""COMPUTED_VALUE"""),"SUMMARY")</f>
        <v>SUMMARY</v>
      </c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r="7">
      <c r="A7" s="3" t="str">
        <f>IFERROR(__xludf.DUMMYFUNCTION("""COMPUTED_VALUE"""),"SL")</f>
        <v>SL</v>
      </c>
      <c r="B7" s="3" t="str">
        <f>IFERROR(__xludf.DUMMYFUNCTION("""COMPUTED_VALUE"""),"ID")</f>
        <v>ID</v>
      </c>
      <c r="C7" s="3" t="str">
        <f>IFERROR(__xludf.DUMMYFUNCTION("""COMPUTED_VALUE"""),"Name")</f>
        <v>Name</v>
      </c>
      <c r="D7" s="4" t="str">
        <f>IFERROR(__xludf.DUMMYFUNCTION("""COMPUTED_VALUE"""),"GSUITE")</f>
        <v>GSUITE</v>
      </c>
      <c r="E7" s="5" t="str">
        <f>IFERROR(__xludf.DUMMYFUNCTION("""COMPUTED_VALUE"""),"Lab Policy Signed?")</f>
        <v>Lab Policy Signed?</v>
      </c>
      <c r="F7" s="6" t="str">
        <f>IFERROR(__xludf.DUMMYFUNCTION("""COMPUTED_VALUE"""),"Absent Count")</f>
        <v>Absent Count</v>
      </c>
      <c r="G7" s="7" t="str">
        <f>IFERROR(__xludf.DUMMYFUNCTION("""COMPUTED_VALUE"""),"Final Exam Eligibility")</f>
        <v>Final Exam Eligibility</v>
      </c>
      <c r="H7" s="8" t="str">
        <f>IFERROR(__xludf.DUMMYFUNCTION("""COMPUTED_VALUE"""),"LAB 1")</f>
        <v>LAB 1</v>
      </c>
      <c r="I7" s="9" t="str">
        <f>IFERROR(__xludf.DUMMYFUNCTION("""COMPUTED_VALUE"""),"LAB 2")</f>
        <v>LAB 2</v>
      </c>
      <c r="J7" s="9" t="str">
        <f>IFERROR(__xludf.DUMMYFUNCTION("""COMPUTED_VALUE"""),"LAB 3")</f>
        <v>LAB 3</v>
      </c>
      <c r="K7" s="9" t="str">
        <f>IFERROR(__xludf.DUMMYFUNCTION("""COMPUTED_VALUE"""),"LAB 4")</f>
        <v>LAB 4</v>
      </c>
      <c r="L7" s="9" t="str">
        <f>IFERROR(__xludf.DUMMYFUNCTION("""COMPUTED_VALUE"""),"LAB 5")</f>
        <v>LAB 5</v>
      </c>
      <c r="M7" s="9" t="str">
        <f>IFERROR(__xludf.DUMMYFUNCTION("""COMPUTED_VALUE"""),"LAB 6")</f>
        <v>LAB 6</v>
      </c>
      <c r="N7" s="9" t="str">
        <f>IFERROR(__xludf.DUMMYFUNCTION("""COMPUTED_VALUE"""),"LAB 7")</f>
        <v>LAB 7</v>
      </c>
      <c r="O7" s="10" t="str">
        <f>IFERROR(__xludf.DUMMYFUNCTION("""COMPUTED_VALUE"""),"LAB 8")</f>
        <v>LAB 8</v>
      </c>
      <c r="P7" s="11" t="str">
        <f>IFERROR(__xludf.DUMMYFUNCTION("""COMPUTED_VALUE"""),"LAB 1")</f>
        <v>LAB 1</v>
      </c>
      <c r="Q7" s="12" t="str">
        <f>IFERROR(__xludf.DUMMYFUNCTION("""COMPUTED_VALUE"""),"LAB 2")</f>
        <v>LAB 2</v>
      </c>
      <c r="R7" s="12" t="str">
        <f>IFERROR(__xludf.DUMMYFUNCTION("""COMPUTED_VALUE"""),"LAB 3")</f>
        <v>LAB 3</v>
      </c>
      <c r="S7" s="12" t="str">
        <f>IFERROR(__xludf.DUMMYFUNCTION("""COMPUTED_VALUE"""),"LAB 4")</f>
        <v>LAB 4</v>
      </c>
      <c r="T7" s="12" t="str">
        <f>IFERROR(__xludf.DUMMYFUNCTION("""COMPUTED_VALUE"""),"LAB 5")</f>
        <v>LAB 5</v>
      </c>
      <c r="U7" s="12" t="str">
        <f>IFERROR(__xludf.DUMMYFUNCTION("""COMPUTED_VALUE"""),"LAB 6")</f>
        <v>LAB 6</v>
      </c>
      <c r="V7" s="12" t="str">
        <f>IFERROR(__xludf.DUMMYFUNCTION("""COMPUTED_VALUE"""),"LAB 7")</f>
        <v>LAB 7</v>
      </c>
      <c r="W7" s="13" t="str">
        <f>IFERROR(__xludf.DUMMYFUNCTION("""COMPUTED_VALUE"""),"LAB 8")</f>
        <v>LAB 8</v>
      </c>
      <c r="X7" s="14" t="str">
        <f>IFERROR(__xludf.DUMMYFUNCTION("""COMPUTED_VALUE"""),"A1")</f>
        <v>A1</v>
      </c>
      <c r="Y7" s="15" t="str">
        <f>IFERROR(__xludf.DUMMYFUNCTION("""COMPUTED_VALUE"""),"A2")</f>
        <v>A2</v>
      </c>
      <c r="Z7" s="15" t="str">
        <f>IFERROR(__xludf.DUMMYFUNCTION("""COMPUTED_VALUE"""),"A3")</f>
        <v>A3</v>
      </c>
      <c r="AA7" s="15" t="str">
        <f>IFERROR(__xludf.DUMMYFUNCTION("""COMPUTED_VALUE"""),"A4")</f>
        <v>A4</v>
      </c>
      <c r="AB7" s="15" t="str">
        <f>IFERROR(__xludf.DUMMYFUNCTION("""COMPUTED_VALUE"""),"A5")</f>
        <v>A5</v>
      </c>
      <c r="AC7" s="15" t="str">
        <f>IFERROR(__xludf.DUMMYFUNCTION("""COMPUTED_VALUE"""),"A6")</f>
        <v>A6</v>
      </c>
      <c r="AD7" s="16" t="str">
        <f>IFERROR(__xludf.DUMMYFUNCTION("""COMPUTED_VALUE"""),"A7")</f>
        <v>A7</v>
      </c>
      <c r="AE7" s="17" t="str">
        <f>IFERROR(__xludf.DUMMYFUNCTION("""COMPUTED_VALUE"""),"A8")</f>
        <v>A8</v>
      </c>
      <c r="AF7" s="18" t="str">
        <f>IFERROR(__xludf.DUMMYFUNCTION("""COMPUTED_VALUE"""),"Exam#1")</f>
        <v>Exam#1</v>
      </c>
      <c r="AG7" s="18" t="str">
        <f>IFERROR(__xludf.DUMMYFUNCTION("""COMPUTED_VALUE"""),"Exam#2")</f>
        <v>Exam#2</v>
      </c>
      <c r="AH7" s="19" t="str">
        <f>IFERROR(__xludf.DUMMYFUNCTION("""COMPUTED_VALUE"""),"Exam#3")</f>
        <v>Exam#3</v>
      </c>
      <c r="AI7" s="20" t="str">
        <f>IFERROR(__xludf.DUMMYFUNCTION("""COMPUTED_VALUE"""),"Exam#4")</f>
        <v>Exam#4</v>
      </c>
      <c r="AJ7" s="21" t="str">
        <f>IFERROR(__xludf.DUMMYFUNCTION("""COMPUTED_VALUE"""),"Plagiarism ")</f>
        <v>Plagiarism </v>
      </c>
      <c r="AK7" s="21" t="str">
        <f>IFERROR(__xludf.DUMMYFUNCTION("""COMPUTED_VALUE"""),"Lab Exam (N-1)")</f>
        <v>Lab Exam (N-1)</v>
      </c>
      <c r="AL7" s="3" t="str">
        <f>IFERROR(__xludf.DUMMYFUNCTION("""COMPUTED_VALUE"""),"Lab Performance (Avg)")</f>
        <v>Lab Performance (Avg)</v>
      </c>
      <c r="AM7" s="22" t="str">
        <f>IFERROR(__xludf.DUMMYFUNCTION("""COMPUTED_VALUE"""),"Assignment
(Avg)")</f>
        <v>Assignment
(Avg)</v>
      </c>
      <c r="AN7" s="23" t="str">
        <f>IFERROR(__xludf.DUMMYFUNCTION("""COMPUTED_VALUE"""),"Lab Marks")</f>
        <v>Lab Marks</v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>
      <c r="A8" s="3"/>
      <c r="B8" s="3"/>
      <c r="C8" s="3"/>
      <c r="D8" s="4"/>
      <c r="E8" s="24"/>
      <c r="F8" s="3"/>
      <c r="G8" s="4"/>
      <c r="H8" s="25">
        <f>IFERROR(__xludf.DUMMYFUNCTION("""COMPUTED_VALUE"""),46071.0)</f>
        <v>46071</v>
      </c>
      <c r="I8" s="26">
        <f>IFERROR(__xludf.DUMMYFUNCTION("""COMPUTED_VALUE"""),46078.0)</f>
        <v>46078</v>
      </c>
      <c r="J8" s="26">
        <f>IFERROR(__xludf.DUMMYFUNCTION("""COMPUTED_VALUE"""),46085.0)</f>
        <v>46085</v>
      </c>
      <c r="K8" s="26">
        <f>IFERROR(__xludf.DUMMYFUNCTION("""COMPUTED_VALUE"""),46092.0)</f>
        <v>46092</v>
      </c>
      <c r="L8" s="27">
        <f>IFERROR(__xludf.DUMMYFUNCTION("""COMPUTED_VALUE"""),46127.0)</f>
        <v>46127</v>
      </c>
      <c r="M8" s="27">
        <f>IFERROR(__xludf.DUMMYFUNCTION("""COMPUTED_VALUE"""),46134.0)</f>
        <v>46134</v>
      </c>
      <c r="N8" s="27">
        <f>IFERROR(__xludf.DUMMYFUNCTION("""COMPUTED_VALUE"""),46141.0)</f>
        <v>46141</v>
      </c>
      <c r="O8" s="28">
        <f>IFERROR(__xludf.DUMMYFUNCTION("""COMPUTED_VALUE"""),46148.0)</f>
        <v>46148</v>
      </c>
      <c r="P8" s="29">
        <f>IFERROR(__xludf.DUMMYFUNCTION("""COMPUTED_VALUE"""),46071.0)</f>
        <v>46071</v>
      </c>
      <c r="Q8" s="30">
        <f>IFERROR(__xludf.DUMMYFUNCTION("""COMPUTED_VALUE"""),46078.0)</f>
        <v>46078</v>
      </c>
      <c r="R8" s="30">
        <f>IFERROR(__xludf.DUMMYFUNCTION("""COMPUTED_VALUE"""),46085.0)</f>
        <v>46085</v>
      </c>
      <c r="S8" s="30">
        <f>IFERROR(__xludf.DUMMYFUNCTION("""COMPUTED_VALUE"""),46092.0)</f>
        <v>46092</v>
      </c>
      <c r="T8" s="30">
        <f>IFERROR(__xludf.DUMMYFUNCTION("""COMPUTED_VALUE"""),46127.0)</f>
        <v>46127</v>
      </c>
      <c r="U8" s="30">
        <f>IFERROR(__xludf.DUMMYFUNCTION("""COMPUTED_VALUE"""),46134.0)</f>
        <v>46134</v>
      </c>
      <c r="V8" s="30">
        <f>IFERROR(__xludf.DUMMYFUNCTION("""COMPUTED_VALUE"""),46141.0)</f>
        <v>46141</v>
      </c>
      <c r="W8" s="31">
        <f>IFERROR(__xludf.DUMMYFUNCTION("""COMPUTED_VALUE"""),46148.0)</f>
        <v>46148</v>
      </c>
      <c r="X8" s="14"/>
      <c r="Y8" s="15"/>
      <c r="Z8" s="15"/>
      <c r="AA8" s="15"/>
      <c r="AB8" s="15"/>
      <c r="AC8" s="15"/>
      <c r="AD8" s="16"/>
      <c r="AE8" s="17"/>
      <c r="AF8" s="32">
        <f>IFERROR(__xludf.DUMMYFUNCTION("""COMPUTED_VALUE"""),46085.0)</f>
        <v>46085</v>
      </c>
      <c r="AG8" s="32">
        <f>IFERROR(__xludf.DUMMYFUNCTION("""COMPUTED_VALUE"""),46134.0)</f>
        <v>46134</v>
      </c>
      <c r="AH8" s="33">
        <f>IFERROR(__xludf.DUMMYFUNCTION("""COMPUTED_VALUE"""),46141.0)</f>
        <v>46141</v>
      </c>
      <c r="AI8" s="34">
        <f>IFERROR(__xludf.DUMMYFUNCTION("""COMPUTED_VALUE"""),46148.0)</f>
        <v>46148</v>
      </c>
      <c r="AJ8" s="3"/>
      <c r="AK8" s="3">
        <f>IFERROR(__xludf.DUMMYFUNCTION("""COMPUTED_VALUE"""),20.0)</f>
        <v>20</v>
      </c>
      <c r="AL8" s="3">
        <f>IFERROR(__xludf.DUMMYFUNCTION("""COMPUTED_VALUE"""),3.0)</f>
        <v>3</v>
      </c>
      <c r="AM8" s="22">
        <f>IFERROR(__xludf.DUMMYFUNCTION("""COMPUTED_VALUE"""),2.0)</f>
        <v>2</v>
      </c>
      <c r="AN8" s="2">
        <f>IFERROR(__xludf.DUMMYFUNCTION("""COMPUTED_VALUE"""),25.0)</f>
        <v>25</v>
      </c>
      <c r="AO8" s="2"/>
      <c r="AP8" s="2"/>
      <c r="AQ8" s="2" t="str">
        <f>IFERROR(__xludf.DUMMYFUNCTION("""COMPUTED_VALUE"""),"BARRED DUE TO ATTENDANCE")</f>
        <v>BARRED DUE TO ATTENDANCE</v>
      </c>
      <c r="AR8" s="2"/>
      <c r="AS8" s="2"/>
      <c r="AT8" s="2"/>
      <c r="AU8" s="2" t="str">
        <f>IFERROR(__xludf.DUMMYFUNCTION("""COMPUTED_VALUE"""),"FAIL DUE TO PLAGIARISM")</f>
        <v>FAIL DUE TO PLAGIARISM</v>
      </c>
      <c r="AV8" s="2"/>
      <c r="AW8" s="2"/>
      <c r="AX8" s="2" t="str">
        <f>IFERROR(__xludf.DUMMYFUNCTION("""COMPUTED_VALUE"""),"Eval Count")</f>
        <v>Eval Count</v>
      </c>
      <c r="AY8" s="2"/>
    </row>
    <row r="9">
      <c r="A9" s="3">
        <f>IFERROR(__xludf.DUMMYFUNCTION("""COMPUTED_VALUE"""),1.0)</f>
        <v>1</v>
      </c>
      <c r="B9" s="3" t="str">
        <f>IFERROR(__xludf.DUMMYFUNCTION("""COMPUTED_VALUE"""),"1000054140")</f>
        <v>1000054140</v>
      </c>
      <c r="C9" s="35" t="str">
        <f>IFERROR(__xludf.DUMMYFUNCTION("""COMPUTED_VALUE"""),"Muktadir Dayen Maman")</f>
        <v>Muktadir Dayen Maman</v>
      </c>
      <c r="D9" s="36" t="str">
        <f>IFERROR(__xludf.DUMMYFUNCTION("""COMPUTED_VALUE"""),"muktadir.dayen.maman@g.bracu.ac.bd")</f>
        <v>muktadir.dayen.maman@g.bracu.ac.bd</v>
      </c>
      <c r="E9" s="24" t="b">
        <f>IFERROR(__xludf.DUMMYFUNCTION("""COMPUTED_VALUE"""),TRUE)</f>
        <v>1</v>
      </c>
      <c r="F9" s="3">
        <f>IFERROR(__xludf.DUMMYFUNCTION("""COMPUTED_VALUE"""),1.0)</f>
        <v>1</v>
      </c>
      <c r="G9" s="4" t="str">
        <f>IFERROR(__xludf.DUMMYFUNCTION("""COMPUTED_VALUE"""),"WARNING")</f>
        <v>WARNING</v>
      </c>
      <c r="H9" s="24">
        <f>IFERROR(__xludf.DUMMYFUNCTION("""COMPUTED_VALUE"""),1.0)</f>
        <v>1</v>
      </c>
      <c r="I9" s="3">
        <f>IFERROR(__xludf.DUMMYFUNCTION("""COMPUTED_VALUE"""),1.0)</f>
        <v>1</v>
      </c>
      <c r="J9" s="3">
        <f>IFERROR(__xludf.DUMMYFUNCTION("""COMPUTED_VALUE"""),1.0)</f>
        <v>1</v>
      </c>
      <c r="K9" s="3">
        <f>IFERROR(__xludf.DUMMYFUNCTION("""COMPUTED_VALUE"""),1.0)</f>
        <v>1</v>
      </c>
      <c r="L9" s="3">
        <f>IFERROR(__xludf.DUMMYFUNCTION("""COMPUTED_VALUE"""),1.0)</f>
        <v>1</v>
      </c>
      <c r="M9" s="3">
        <f>IFERROR(__xludf.DUMMYFUNCTION("""COMPUTED_VALUE"""),1.0)</f>
        <v>1</v>
      </c>
      <c r="N9" s="3">
        <f>IFERROR(__xludf.DUMMYFUNCTION("""COMPUTED_VALUE"""),1.0)</f>
        <v>1</v>
      </c>
      <c r="O9" s="4">
        <f>IFERROR(__xludf.DUMMYFUNCTION("""COMPUTED_VALUE"""),0.0)</f>
        <v>0</v>
      </c>
      <c r="P9" s="24"/>
      <c r="Q9" s="3">
        <f>IFERROR(__xludf.DUMMYFUNCTION("""COMPUTED_VALUE"""),5.0)</f>
        <v>5</v>
      </c>
      <c r="R9" s="3"/>
      <c r="S9" s="3"/>
      <c r="T9" s="3"/>
      <c r="U9" s="3">
        <f>IFERROR(__xludf.DUMMYFUNCTION("""COMPUTED_VALUE"""),5.0)</f>
        <v>5</v>
      </c>
      <c r="V9" s="3"/>
      <c r="W9" s="4"/>
      <c r="X9" s="24">
        <f>IFERROR(__xludf.DUMMYFUNCTION("""COMPUTED_VALUE"""),4.0)</f>
        <v>4</v>
      </c>
      <c r="Y9" s="3" t="str">
        <f>IFERROR(__xludf.DUMMYFUNCTION("""COMPUTED_VALUE"""),"N")</f>
        <v>N</v>
      </c>
      <c r="Z9" s="3">
        <f>IFERROR(__xludf.DUMMYFUNCTION("""COMPUTED_VALUE"""),5.0)</f>
        <v>5</v>
      </c>
      <c r="AA9" s="3" t="str">
        <f>IFERROR(__xludf.DUMMYFUNCTION("""COMPUTED_VALUE"""),"N")</f>
        <v>N</v>
      </c>
      <c r="AB9" s="3" t="str">
        <f>IFERROR(__xludf.DUMMYFUNCTION("""COMPUTED_VALUE"""),"N")</f>
        <v>N</v>
      </c>
      <c r="AC9" s="3">
        <f>IFERROR(__xludf.DUMMYFUNCTION("""COMPUTED_VALUE"""),5.0)</f>
        <v>5</v>
      </c>
      <c r="AD9" s="4">
        <f>IFERROR(__xludf.DUMMYFUNCTION("""COMPUTED_VALUE"""),4.2)</f>
        <v>4.2</v>
      </c>
      <c r="AE9" s="24"/>
      <c r="AF9" s="3">
        <f>IFERROR(__xludf.DUMMYFUNCTION("""COMPUTED_VALUE"""),7.0)</f>
        <v>7</v>
      </c>
      <c r="AG9" s="3">
        <f>IFERROR(__xludf.DUMMYFUNCTION("""COMPUTED_VALUE"""),4.0)</f>
        <v>4</v>
      </c>
      <c r="AH9" s="4">
        <f>IFERROR(__xludf.DUMMYFUNCTION("""COMPUTED_VALUE"""),4.0)</f>
        <v>4</v>
      </c>
      <c r="AI9" s="24">
        <f>IFERROR(__xludf.DUMMYFUNCTION("""COMPUTED_VALUE"""),5.0)</f>
        <v>5</v>
      </c>
      <c r="AJ9" s="37">
        <f>IFERROR(__xludf.DUMMYFUNCTION("""COMPUTED_VALUE"""),0.0)</f>
        <v>0</v>
      </c>
      <c r="AK9" s="3">
        <f>IFERROR(__xludf.DUMMYFUNCTION("""COMPUTED_VALUE"""),10.667)</f>
        <v>10.667</v>
      </c>
      <c r="AL9" s="3">
        <f>IFERROR(__xludf.DUMMYFUNCTION("""COMPUTED_VALUE"""),3.0)</f>
        <v>3</v>
      </c>
      <c r="AM9" s="22">
        <f>IFERROR(__xludf.DUMMYFUNCTION("""COMPUTED_VALUE"""),0.91)</f>
        <v>0.91</v>
      </c>
      <c r="AN9" s="2">
        <f>IFERROR(__xludf.DUMMYFUNCTION("""COMPUTED_VALUE"""),14.75)</f>
        <v>14.75</v>
      </c>
      <c r="AO9" s="2"/>
      <c r="AP9" s="2"/>
      <c r="AQ9" s="2" t="str">
        <f>IFERROR(__xludf.DUMMYFUNCTION("""COMPUTED_VALUE"""),"1000056985")</f>
        <v>1000056985</v>
      </c>
      <c r="AR9" s="2" t="str">
        <f>IFERROR(__xludf.DUMMYFUNCTION("""COMPUTED_VALUE"""),"Al Samew")</f>
        <v>Al Samew</v>
      </c>
      <c r="AS9" s="2" t="str">
        <f>IFERROR(__xludf.DUMMYFUNCTION("""COMPUTED_VALUE"""),"al.samew@g.bracu.ac.bd")</f>
        <v>al.samew@g.bracu.ac.bd</v>
      </c>
      <c r="AT9" s="2"/>
      <c r="AU9" s="2" t="str">
        <f>IFERROR(__xludf.DUMMYFUNCTION("""COMPUTED_VALUE"""),"No one failed due to Plagiarism")</f>
        <v>No one failed due to Plagiarism</v>
      </c>
      <c r="AV9" s="2"/>
      <c r="AW9" s="2"/>
      <c r="AX9" s="2">
        <f>IFERROR(__xludf.DUMMYFUNCTION("""COMPUTED_VALUE"""),2.0)</f>
        <v>2</v>
      </c>
      <c r="AY9" s="2"/>
    </row>
    <row r="10">
      <c r="A10" s="3">
        <f>IFERROR(__xludf.DUMMYFUNCTION("""COMPUTED_VALUE"""),2.0)</f>
        <v>2</v>
      </c>
      <c r="B10" s="3" t="str">
        <f>IFERROR(__xludf.DUMMYFUNCTION("""COMPUTED_VALUE"""),"1000054952")</f>
        <v>1000054952</v>
      </c>
      <c r="C10" s="35" t="str">
        <f>IFERROR(__xludf.DUMMYFUNCTION("""COMPUTED_VALUE"""),"A.K.M.Mahibur Rahman Khan")</f>
        <v>A.K.M.Mahibur Rahman Khan</v>
      </c>
      <c r="D10" s="36" t="str">
        <f>IFERROR(__xludf.DUMMYFUNCTION("""COMPUTED_VALUE"""),"mahibur.rahman.khan@g.bracu.ac.bd")</f>
        <v>mahibur.rahman.khan@g.bracu.ac.bd</v>
      </c>
      <c r="E10" s="24" t="b">
        <f>IFERROR(__xludf.DUMMYFUNCTION("""COMPUTED_VALUE"""),TRUE)</f>
        <v>1</v>
      </c>
      <c r="F10" s="3">
        <f>IFERROR(__xludf.DUMMYFUNCTION("""COMPUTED_VALUE"""),1.0)</f>
        <v>1</v>
      </c>
      <c r="G10" s="4" t="str">
        <f>IFERROR(__xludf.DUMMYFUNCTION("""COMPUTED_VALUE"""),"WARNING")</f>
        <v>WARNING</v>
      </c>
      <c r="H10" s="24">
        <f>IFERROR(__xludf.DUMMYFUNCTION("""COMPUTED_VALUE"""),1.0)</f>
        <v>1</v>
      </c>
      <c r="I10" s="3">
        <f>IFERROR(__xludf.DUMMYFUNCTION("""COMPUTED_VALUE"""),1.0)</f>
        <v>1</v>
      </c>
      <c r="J10" s="3">
        <f>IFERROR(__xludf.DUMMYFUNCTION("""COMPUTED_VALUE"""),1.0)</f>
        <v>1</v>
      </c>
      <c r="K10" s="3">
        <f>IFERROR(__xludf.DUMMYFUNCTION("""COMPUTED_VALUE"""),1.0)</f>
        <v>1</v>
      </c>
      <c r="L10" s="3">
        <f>IFERROR(__xludf.DUMMYFUNCTION("""COMPUTED_VALUE"""),1.0)</f>
        <v>1</v>
      </c>
      <c r="M10" s="3">
        <f>IFERROR(__xludf.DUMMYFUNCTION("""COMPUTED_VALUE"""),1.0)</f>
        <v>1</v>
      </c>
      <c r="N10" s="3">
        <f>IFERROR(__xludf.DUMMYFUNCTION("""COMPUTED_VALUE"""),0.0)</f>
        <v>0</v>
      </c>
      <c r="O10" s="4">
        <f>IFERROR(__xludf.DUMMYFUNCTION("""COMPUTED_VALUE"""),1.0)</f>
        <v>1</v>
      </c>
      <c r="P10" s="24"/>
      <c r="Q10" s="3">
        <f>IFERROR(__xludf.DUMMYFUNCTION("""COMPUTED_VALUE"""),4.5)</f>
        <v>4.5</v>
      </c>
      <c r="R10" s="3"/>
      <c r="S10" s="3"/>
      <c r="T10" s="3"/>
      <c r="U10" s="3">
        <f>IFERROR(__xludf.DUMMYFUNCTION("""COMPUTED_VALUE"""),4.0)</f>
        <v>4</v>
      </c>
      <c r="V10" s="3"/>
      <c r="W10" s="4"/>
      <c r="X10" s="24">
        <f>IFERROR(__xludf.DUMMYFUNCTION("""COMPUTED_VALUE"""),5.0)</f>
        <v>5</v>
      </c>
      <c r="Y10" s="3">
        <f>IFERROR(__xludf.DUMMYFUNCTION("""COMPUTED_VALUE"""),1.7)</f>
        <v>1.7</v>
      </c>
      <c r="Z10" s="3">
        <f>IFERROR(__xludf.DUMMYFUNCTION("""COMPUTED_VALUE"""),5.0)</f>
        <v>5</v>
      </c>
      <c r="AA10" s="3">
        <f>IFERROR(__xludf.DUMMYFUNCTION("""COMPUTED_VALUE"""),3.3)</f>
        <v>3.3</v>
      </c>
      <c r="AB10" s="3">
        <f>IFERROR(__xludf.DUMMYFUNCTION("""COMPUTED_VALUE"""),2.9)</f>
        <v>2.9</v>
      </c>
      <c r="AC10" s="3">
        <f>IFERROR(__xludf.DUMMYFUNCTION("""COMPUTED_VALUE"""),5.0)</f>
        <v>5</v>
      </c>
      <c r="AD10" s="4">
        <f>IFERROR(__xludf.DUMMYFUNCTION("""COMPUTED_VALUE"""),3.3)</f>
        <v>3.3</v>
      </c>
      <c r="AE10" s="24">
        <f>IFERROR(__xludf.DUMMYFUNCTION("""COMPUTED_VALUE"""),5.0)</f>
        <v>5</v>
      </c>
      <c r="AF10" s="3">
        <f>IFERROR(__xludf.DUMMYFUNCTION("""COMPUTED_VALUE"""),6.0)</f>
        <v>6</v>
      </c>
      <c r="AG10" s="3">
        <f>IFERROR(__xludf.DUMMYFUNCTION("""COMPUTED_VALUE"""),5.0)</f>
        <v>5</v>
      </c>
      <c r="AH10" s="4"/>
      <c r="AI10" s="24">
        <f>IFERROR(__xludf.DUMMYFUNCTION("""COMPUTED_VALUE"""),2.0)</f>
        <v>2</v>
      </c>
      <c r="AJ10" s="37">
        <f>IFERROR(__xludf.DUMMYFUNCTION("""COMPUTED_VALUE"""),0.0)</f>
        <v>0</v>
      </c>
      <c r="AK10" s="3">
        <f>IFERROR(__xludf.DUMMYFUNCTION("""COMPUTED_VALUE"""),8.667)</f>
        <v>8.667</v>
      </c>
      <c r="AL10" s="3">
        <f>IFERROR(__xludf.DUMMYFUNCTION("""COMPUTED_VALUE"""),2.55)</f>
        <v>2.55</v>
      </c>
      <c r="AM10" s="22">
        <f>IFERROR(__xludf.DUMMYFUNCTION("""COMPUTED_VALUE"""),1.56)</f>
        <v>1.56</v>
      </c>
      <c r="AN10" s="2">
        <f>IFERROR(__xludf.DUMMYFUNCTION("""COMPUTED_VALUE"""),13.0)</f>
        <v>13</v>
      </c>
      <c r="AO10" s="2"/>
      <c r="AP10" s="2"/>
      <c r="AQ10" s="2" t="str">
        <f>IFERROR(__xludf.DUMMYFUNCTION("""COMPUTED_VALUE"""),"22301330")</f>
        <v>22301330</v>
      </c>
      <c r="AR10" s="2" t="str">
        <f>IFERROR(__xludf.DUMMYFUNCTION("""COMPUTED_VALUE"""),"Md. Sanaullah Efti")</f>
        <v>Md. Sanaullah Efti</v>
      </c>
      <c r="AS10" s="2" t="str">
        <f>IFERROR(__xludf.DUMMYFUNCTION("""COMPUTED_VALUE"""),"md.sanaullah.efti@g.bracu.ac.bd")</f>
        <v>md.sanaullah.efti@g.bracu.ac.bd</v>
      </c>
      <c r="AT10" s="2"/>
      <c r="AU10" s="2"/>
      <c r="AV10" s="2"/>
      <c r="AW10" s="2"/>
      <c r="AX10" s="2">
        <f>IFERROR(__xludf.DUMMYFUNCTION("""COMPUTED_VALUE"""),2.0)</f>
        <v>2</v>
      </c>
      <c r="AY10" s="2"/>
    </row>
    <row r="11">
      <c r="A11" s="3">
        <f>IFERROR(__xludf.DUMMYFUNCTION("""COMPUTED_VALUE"""),3.0)</f>
        <v>3</v>
      </c>
      <c r="B11" s="3" t="str">
        <f>IFERROR(__xludf.DUMMYFUNCTION("""COMPUTED_VALUE"""),"1000055495")</f>
        <v>1000055495</v>
      </c>
      <c r="C11" s="35" t="str">
        <f>IFERROR(__xludf.DUMMYFUNCTION("""COMPUTED_VALUE"""),"Shuaib Khan Shihab")</f>
        <v>Shuaib Khan Shihab</v>
      </c>
      <c r="D11" s="36" t="str">
        <f>IFERROR(__xludf.DUMMYFUNCTION("""COMPUTED_VALUE"""),"shuaib@g.bracu.ac.bd")</f>
        <v>shuaib@g.bracu.ac.bd</v>
      </c>
      <c r="E11" s="24" t="b">
        <f>IFERROR(__xludf.DUMMYFUNCTION("""COMPUTED_VALUE"""),TRUE)</f>
        <v>1</v>
      </c>
      <c r="F11" s="3">
        <f>IFERROR(__xludf.DUMMYFUNCTION("""COMPUTED_VALUE"""),1.0)</f>
        <v>1</v>
      </c>
      <c r="G11" s="4" t="str">
        <f>IFERROR(__xludf.DUMMYFUNCTION("""COMPUTED_VALUE"""),"WARNING")</f>
        <v>WARNING</v>
      </c>
      <c r="H11" s="24">
        <f>IFERROR(__xludf.DUMMYFUNCTION("""COMPUTED_VALUE"""),1.0)</f>
        <v>1</v>
      </c>
      <c r="I11" s="3">
        <f>IFERROR(__xludf.DUMMYFUNCTION("""COMPUTED_VALUE"""),1.0)</f>
        <v>1</v>
      </c>
      <c r="J11" s="3">
        <f>IFERROR(__xludf.DUMMYFUNCTION("""COMPUTED_VALUE"""),1.0)</f>
        <v>1</v>
      </c>
      <c r="K11" s="3">
        <f>IFERROR(__xludf.DUMMYFUNCTION("""COMPUTED_VALUE"""),1.0)</f>
        <v>1</v>
      </c>
      <c r="L11" s="3">
        <f>IFERROR(__xludf.DUMMYFUNCTION("""COMPUTED_VALUE"""),0.0)</f>
        <v>0</v>
      </c>
      <c r="M11" s="3">
        <f>IFERROR(__xludf.DUMMYFUNCTION("""COMPUTED_VALUE"""),1.0)</f>
        <v>1</v>
      </c>
      <c r="N11" s="3">
        <f>IFERROR(__xludf.DUMMYFUNCTION("""COMPUTED_VALUE"""),1.0)</f>
        <v>1</v>
      </c>
      <c r="O11" s="4">
        <f>IFERROR(__xludf.DUMMYFUNCTION("""COMPUTED_VALUE"""),1.0)</f>
        <v>1</v>
      </c>
      <c r="P11" s="24"/>
      <c r="Q11" s="3">
        <f>IFERROR(__xludf.DUMMYFUNCTION("""COMPUTED_VALUE"""),1.0)</f>
        <v>1</v>
      </c>
      <c r="R11" s="3"/>
      <c r="S11" s="3"/>
      <c r="T11" s="3"/>
      <c r="U11" s="3">
        <f>IFERROR(__xludf.DUMMYFUNCTION("""COMPUTED_VALUE"""),2.0)</f>
        <v>2</v>
      </c>
      <c r="V11" s="3"/>
      <c r="W11" s="4"/>
      <c r="X11" s="24">
        <f>IFERROR(__xludf.DUMMYFUNCTION("""COMPUTED_VALUE"""),5.0)</f>
        <v>5</v>
      </c>
      <c r="Y11" s="3">
        <f>IFERROR(__xludf.DUMMYFUNCTION("""COMPUTED_VALUE"""),1.7)</f>
        <v>1.7</v>
      </c>
      <c r="Z11" s="3">
        <f>IFERROR(__xludf.DUMMYFUNCTION("""COMPUTED_VALUE"""),2.0)</f>
        <v>2</v>
      </c>
      <c r="AA11" s="3" t="str">
        <f>IFERROR(__xludf.DUMMYFUNCTION("""COMPUTED_VALUE"""),"N")</f>
        <v>N</v>
      </c>
      <c r="AB11" s="3" t="str">
        <f>IFERROR(__xludf.DUMMYFUNCTION("""COMPUTED_VALUE"""),"N")</f>
        <v>N</v>
      </c>
      <c r="AC11" s="3"/>
      <c r="AD11" s="4" t="str">
        <f>IFERROR(__xludf.DUMMYFUNCTION("""COMPUTED_VALUE"""),"N")</f>
        <v>N</v>
      </c>
      <c r="AE11" s="24"/>
      <c r="AF11" s="3">
        <f>IFERROR(__xludf.DUMMYFUNCTION("""COMPUTED_VALUE"""),5.0)</f>
        <v>5</v>
      </c>
      <c r="AG11" s="3">
        <f>IFERROR(__xludf.DUMMYFUNCTION("""COMPUTED_VALUE"""),1.0)</f>
        <v>1</v>
      </c>
      <c r="AH11" s="4">
        <f>IFERROR(__xludf.DUMMYFUNCTION("""COMPUTED_VALUE"""),3.0)</f>
        <v>3</v>
      </c>
      <c r="AI11" s="24">
        <f>IFERROR(__xludf.DUMMYFUNCTION("""COMPUTED_VALUE"""),1.0)</f>
        <v>1</v>
      </c>
      <c r="AJ11" s="37">
        <f>IFERROR(__xludf.DUMMYFUNCTION("""COMPUTED_VALUE"""),0.0)</f>
        <v>0</v>
      </c>
      <c r="AK11" s="3">
        <f>IFERROR(__xludf.DUMMYFUNCTION("""COMPUTED_VALUE"""),6.0)</f>
        <v>6</v>
      </c>
      <c r="AL11" s="3">
        <f>IFERROR(__xludf.DUMMYFUNCTION("""COMPUTED_VALUE"""),0.9)</f>
        <v>0.9</v>
      </c>
      <c r="AM11" s="22">
        <f>IFERROR(__xludf.DUMMYFUNCTION("""COMPUTED_VALUE"""),0.435)</f>
        <v>0.435</v>
      </c>
      <c r="AN11" s="2">
        <f>IFERROR(__xludf.DUMMYFUNCTION("""COMPUTED_VALUE"""),7.5)</f>
        <v>7.5</v>
      </c>
      <c r="AO11" s="2"/>
      <c r="AP11" s="2"/>
      <c r="AQ11" s="2" t="str">
        <f>IFERROR(__xludf.DUMMYFUNCTION("""COMPUTED_VALUE"""),"22301580")</f>
        <v>22301580</v>
      </c>
      <c r="AR11" s="2" t="str">
        <f>IFERROR(__xludf.DUMMYFUNCTION("""COMPUTED_VALUE"""),"Md. A. Muqsit Islam")</f>
        <v>Md. A. Muqsit Islam</v>
      </c>
      <c r="AS11" s="2" t="str">
        <f>IFERROR(__xludf.DUMMYFUNCTION("""COMPUTED_VALUE"""),"md.amuqsit.islam@g.bracu.ac.bd")</f>
        <v>md.amuqsit.islam@g.bracu.ac.bd</v>
      </c>
      <c r="AT11" s="2"/>
      <c r="AU11" s="2"/>
      <c r="AV11" s="2"/>
      <c r="AW11" s="2"/>
      <c r="AX11" s="2">
        <f>IFERROR(__xludf.DUMMYFUNCTION("""COMPUTED_VALUE"""),2.0)</f>
        <v>2</v>
      </c>
      <c r="AY11" s="2"/>
    </row>
    <row r="12">
      <c r="A12" s="3">
        <f>IFERROR(__xludf.DUMMYFUNCTION("""COMPUTED_VALUE"""),4.0)</f>
        <v>4</v>
      </c>
      <c r="B12" s="3" t="str">
        <f>IFERROR(__xludf.DUMMYFUNCTION("""COMPUTED_VALUE"""),"1000056015")</f>
        <v>1000056015</v>
      </c>
      <c r="C12" s="35" t="str">
        <f>IFERROR(__xludf.DUMMYFUNCTION("""COMPUTED_VALUE"""),"Tanvir Ahmed Bipul")</f>
        <v>Tanvir Ahmed Bipul</v>
      </c>
      <c r="D12" s="36" t="str">
        <f>IFERROR(__xludf.DUMMYFUNCTION("""COMPUTED_VALUE"""),"tanvir.ahmed.bipul@g.bracu.ac.bd")</f>
        <v>tanvir.ahmed.bipul@g.bracu.ac.bd</v>
      </c>
      <c r="E12" s="24" t="b">
        <f>IFERROR(__xludf.DUMMYFUNCTION("""COMPUTED_VALUE"""),TRUE)</f>
        <v>1</v>
      </c>
      <c r="F12" s="3">
        <f>IFERROR(__xludf.DUMMYFUNCTION("""COMPUTED_VALUE"""),1.0)</f>
        <v>1</v>
      </c>
      <c r="G12" s="4" t="str">
        <f>IFERROR(__xludf.DUMMYFUNCTION("""COMPUTED_VALUE"""),"WARNING")</f>
        <v>WARNING</v>
      </c>
      <c r="H12" s="24">
        <f>IFERROR(__xludf.DUMMYFUNCTION("""COMPUTED_VALUE"""),1.0)</f>
        <v>1</v>
      </c>
      <c r="I12" s="3">
        <f>IFERROR(__xludf.DUMMYFUNCTION("""COMPUTED_VALUE"""),1.0)</f>
        <v>1</v>
      </c>
      <c r="J12" s="3">
        <f>IFERROR(__xludf.DUMMYFUNCTION("""COMPUTED_VALUE"""),1.0)</f>
        <v>1</v>
      </c>
      <c r="K12" s="3">
        <f>IFERROR(__xludf.DUMMYFUNCTION("""COMPUTED_VALUE"""),1.0)</f>
        <v>1</v>
      </c>
      <c r="L12" s="3">
        <f>IFERROR(__xludf.DUMMYFUNCTION("""COMPUTED_VALUE"""),1.0)</f>
        <v>1</v>
      </c>
      <c r="M12" s="3">
        <f>IFERROR(__xludf.DUMMYFUNCTION("""COMPUTED_VALUE"""),1.0)</f>
        <v>1</v>
      </c>
      <c r="N12" s="3">
        <f>IFERROR(__xludf.DUMMYFUNCTION("""COMPUTED_VALUE"""),1.0)</f>
        <v>1</v>
      </c>
      <c r="O12" s="4">
        <f>IFERROR(__xludf.DUMMYFUNCTION("""COMPUTED_VALUE"""),0.0)</f>
        <v>0</v>
      </c>
      <c r="P12" s="24"/>
      <c r="Q12" s="3">
        <f>IFERROR(__xludf.DUMMYFUNCTION("""COMPUTED_VALUE"""),2.5)</f>
        <v>2.5</v>
      </c>
      <c r="R12" s="3"/>
      <c r="S12" s="3"/>
      <c r="T12" s="3"/>
      <c r="U12" s="3">
        <f>IFERROR(__xludf.DUMMYFUNCTION("""COMPUTED_VALUE"""),2.5)</f>
        <v>2.5</v>
      </c>
      <c r="V12" s="3"/>
      <c r="W12" s="4"/>
      <c r="X12" s="24">
        <f>IFERROR(__xludf.DUMMYFUNCTION("""COMPUTED_VALUE"""),0.0)</f>
        <v>0</v>
      </c>
      <c r="Y12" s="3" t="str">
        <f>IFERROR(__xludf.DUMMYFUNCTION("""COMPUTED_VALUE"""),"N")</f>
        <v>N</v>
      </c>
      <c r="Z12" s="3"/>
      <c r="AA12" s="3" t="str">
        <f>IFERROR(__xludf.DUMMYFUNCTION("""COMPUTED_VALUE"""),"N")</f>
        <v>N</v>
      </c>
      <c r="AB12" s="3" t="str">
        <f>IFERROR(__xludf.DUMMYFUNCTION("""COMPUTED_VALUE"""),"N")</f>
        <v>N</v>
      </c>
      <c r="AC12" s="3"/>
      <c r="AD12" s="4" t="str">
        <f>IFERROR(__xludf.DUMMYFUNCTION("""COMPUTED_VALUE"""),"N")</f>
        <v>N</v>
      </c>
      <c r="AE12" s="24"/>
      <c r="AF12" s="3">
        <f>IFERROR(__xludf.DUMMYFUNCTION("""COMPUTED_VALUE"""),5.0)</f>
        <v>5</v>
      </c>
      <c r="AG12" s="3">
        <f>IFERROR(__xludf.DUMMYFUNCTION("""COMPUTED_VALUE"""),7.0)</f>
        <v>7</v>
      </c>
      <c r="AH12" s="4">
        <f>IFERROR(__xludf.DUMMYFUNCTION("""COMPUTED_VALUE"""),2.0)</f>
        <v>2</v>
      </c>
      <c r="AI12" s="24"/>
      <c r="AJ12" s="37">
        <f>IFERROR(__xludf.DUMMYFUNCTION("""COMPUTED_VALUE"""),0.0)</f>
        <v>0</v>
      </c>
      <c r="AK12" s="3">
        <f>IFERROR(__xludf.DUMMYFUNCTION("""COMPUTED_VALUE"""),9.334)</f>
        <v>9.334</v>
      </c>
      <c r="AL12" s="3">
        <f>IFERROR(__xludf.DUMMYFUNCTION("""COMPUTED_VALUE"""),1.5)</f>
        <v>1.5</v>
      </c>
      <c r="AM12" s="22">
        <f>IFERROR(__xludf.DUMMYFUNCTION("""COMPUTED_VALUE"""),0.0)</f>
        <v>0</v>
      </c>
      <c r="AN12" s="2">
        <f>IFERROR(__xludf.DUMMYFUNCTION("""COMPUTED_VALUE"""),11.0)</f>
        <v>11</v>
      </c>
      <c r="AO12" s="2"/>
      <c r="AP12" s="2"/>
      <c r="AQ12" s="2" t="str">
        <f>IFERROR(__xludf.DUMMYFUNCTION("""COMPUTED_VALUE"""),"24101453")</f>
        <v>24101453</v>
      </c>
      <c r="AR12" s="2" t="str">
        <f>IFERROR(__xludf.DUMMYFUNCTION("""COMPUTED_VALUE"""),"Muntasir Bin Islam")</f>
        <v>Muntasir Bin Islam</v>
      </c>
      <c r="AS12" s="2" t="str">
        <f>IFERROR(__xludf.DUMMYFUNCTION("""COMPUTED_VALUE"""),"muntasir.bin.islam@g.bracu.ac.bd")</f>
        <v>muntasir.bin.islam@g.bracu.ac.bd</v>
      </c>
      <c r="AT12" s="2"/>
      <c r="AU12" s="2"/>
      <c r="AV12" s="2"/>
      <c r="AW12" s="2"/>
      <c r="AX12" s="2">
        <f>IFERROR(__xludf.DUMMYFUNCTION("""COMPUTED_VALUE"""),2.0)</f>
        <v>2</v>
      </c>
      <c r="AY12" s="2"/>
    </row>
    <row r="13">
      <c r="A13" s="3">
        <f>IFERROR(__xludf.DUMMYFUNCTION("""COMPUTED_VALUE"""),5.0)</f>
        <v>5</v>
      </c>
      <c r="B13" s="3" t="str">
        <f>IFERROR(__xludf.DUMMYFUNCTION("""COMPUTED_VALUE"""),"1000056146")</f>
        <v>1000056146</v>
      </c>
      <c r="C13" s="35" t="str">
        <f>IFERROR(__xludf.DUMMYFUNCTION("""COMPUTED_VALUE"""),"Lubaba Tasnim Siddiqua")</f>
        <v>Lubaba Tasnim Siddiqua</v>
      </c>
      <c r="D13" s="36" t="str">
        <f>IFERROR(__xludf.DUMMYFUNCTION("""COMPUTED_VALUE"""),"Lubaba.tasnim.siddiqua@g.bracu.ac.bd")</f>
        <v>Lubaba.tasnim.siddiqua@g.bracu.ac.bd</v>
      </c>
      <c r="E13" s="24" t="b">
        <f>IFERROR(__xludf.DUMMYFUNCTION("""COMPUTED_VALUE"""),TRUE)</f>
        <v>1</v>
      </c>
      <c r="F13" s="3">
        <f>IFERROR(__xludf.DUMMYFUNCTION("""COMPUTED_VALUE"""),0.0)</f>
        <v>0</v>
      </c>
      <c r="G13" s="4" t="str">
        <f>IFERROR(__xludf.DUMMYFUNCTION("""COMPUTED_VALUE"""),"OKAY")</f>
        <v>OKAY</v>
      </c>
      <c r="H13" s="24">
        <f>IFERROR(__xludf.DUMMYFUNCTION("""COMPUTED_VALUE"""),1.0)</f>
        <v>1</v>
      </c>
      <c r="I13" s="3">
        <f>IFERROR(__xludf.DUMMYFUNCTION("""COMPUTED_VALUE"""),1.0)</f>
        <v>1</v>
      </c>
      <c r="J13" s="3">
        <f>IFERROR(__xludf.DUMMYFUNCTION("""COMPUTED_VALUE"""),1.0)</f>
        <v>1</v>
      </c>
      <c r="K13" s="3">
        <f>IFERROR(__xludf.DUMMYFUNCTION("""COMPUTED_VALUE"""),1.0)</f>
        <v>1</v>
      </c>
      <c r="L13" s="3">
        <f>IFERROR(__xludf.DUMMYFUNCTION("""COMPUTED_VALUE"""),1.0)</f>
        <v>1</v>
      </c>
      <c r="M13" s="3">
        <f>IFERROR(__xludf.DUMMYFUNCTION("""COMPUTED_VALUE"""),1.0)</f>
        <v>1</v>
      </c>
      <c r="N13" s="3">
        <f>IFERROR(__xludf.DUMMYFUNCTION("""COMPUTED_VALUE"""),1.0)</f>
        <v>1</v>
      </c>
      <c r="O13" s="4">
        <f>IFERROR(__xludf.DUMMYFUNCTION("""COMPUTED_VALUE"""),1.0)</f>
        <v>1</v>
      </c>
      <c r="P13" s="24"/>
      <c r="Q13" s="3">
        <f>IFERROR(__xludf.DUMMYFUNCTION("""COMPUTED_VALUE"""),4.0)</f>
        <v>4</v>
      </c>
      <c r="R13" s="3"/>
      <c r="S13" s="3"/>
      <c r="T13" s="3"/>
      <c r="U13" s="3">
        <f>IFERROR(__xludf.DUMMYFUNCTION("""COMPUTED_VALUE"""),4.5)</f>
        <v>4.5</v>
      </c>
      <c r="V13" s="3"/>
      <c r="W13" s="4"/>
      <c r="X13" s="24">
        <f>IFERROR(__xludf.DUMMYFUNCTION("""COMPUTED_VALUE"""),5.0)</f>
        <v>5</v>
      </c>
      <c r="Y13" s="3">
        <f>IFERROR(__xludf.DUMMYFUNCTION("""COMPUTED_VALUE"""),4.7)</f>
        <v>4.7</v>
      </c>
      <c r="Z13" s="3">
        <f>IFERROR(__xludf.DUMMYFUNCTION("""COMPUTED_VALUE"""),5.0)</f>
        <v>5</v>
      </c>
      <c r="AA13" s="3">
        <f>IFERROR(__xludf.DUMMYFUNCTION("""COMPUTED_VALUE"""),3.0)</f>
        <v>3</v>
      </c>
      <c r="AB13" s="3">
        <f>IFERROR(__xludf.DUMMYFUNCTION("""COMPUTED_VALUE"""),5.0)</f>
        <v>5</v>
      </c>
      <c r="AC13" s="3">
        <f>IFERROR(__xludf.DUMMYFUNCTION("""COMPUTED_VALUE"""),5.0)</f>
        <v>5</v>
      </c>
      <c r="AD13" s="4">
        <f>IFERROR(__xludf.DUMMYFUNCTION("""COMPUTED_VALUE"""),5.0)</f>
        <v>5</v>
      </c>
      <c r="AE13" s="24">
        <f>IFERROR(__xludf.DUMMYFUNCTION("""COMPUTED_VALUE"""),5.0)</f>
        <v>5</v>
      </c>
      <c r="AF13" s="3">
        <f>IFERROR(__xludf.DUMMYFUNCTION("""COMPUTED_VALUE"""),7.5)</f>
        <v>7.5</v>
      </c>
      <c r="AG13" s="3">
        <f>IFERROR(__xludf.DUMMYFUNCTION("""COMPUTED_VALUE"""),5.0)</f>
        <v>5</v>
      </c>
      <c r="AH13" s="4">
        <f>IFERROR(__xludf.DUMMYFUNCTION("""COMPUTED_VALUE"""),5.0)</f>
        <v>5</v>
      </c>
      <c r="AI13" s="24">
        <f>IFERROR(__xludf.DUMMYFUNCTION("""COMPUTED_VALUE"""),3.0)</f>
        <v>3</v>
      </c>
      <c r="AJ13" s="37">
        <f>IFERROR(__xludf.DUMMYFUNCTION("""COMPUTED_VALUE"""),0.0)</f>
        <v>0</v>
      </c>
      <c r="AK13" s="3">
        <f>IFERROR(__xludf.DUMMYFUNCTION("""COMPUTED_VALUE"""),11.667)</f>
        <v>11.667</v>
      </c>
      <c r="AL13" s="3">
        <f>IFERROR(__xludf.DUMMYFUNCTION("""COMPUTED_VALUE"""),2.55)</f>
        <v>2.55</v>
      </c>
      <c r="AM13" s="22">
        <f>IFERROR(__xludf.DUMMYFUNCTION("""COMPUTED_VALUE"""),1.885)</f>
        <v>1.885</v>
      </c>
      <c r="AN13" s="2">
        <f>IFERROR(__xludf.DUMMYFUNCTION("""COMPUTED_VALUE"""),16.25)</f>
        <v>16.25</v>
      </c>
      <c r="AO13" s="2"/>
      <c r="AP13" s="2"/>
      <c r="AQ13" s="2"/>
      <c r="AR13" s="2"/>
      <c r="AS13" s="2"/>
      <c r="AT13" s="2"/>
      <c r="AU13" s="2"/>
      <c r="AV13" s="2"/>
      <c r="AW13" s="2"/>
      <c r="AX13" s="2">
        <f>IFERROR(__xludf.DUMMYFUNCTION("""COMPUTED_VALUE"""),2.0)</f>
        <v>2</v>
      </c>
      <c r="AY13" s="2"/>
    </row>
    <row r="14">
      <c r="A14" s="3">
        <f>IFERROR(__xludf.DUMMYFUNCTION("""COMPUTED_VALUE"""),6.0)</f>
        <v>6</v>
      </c>
      <c r="B14" s="3" t="str">
        <f>IFERROR(__xludf.DUMMYFUNCTION("""COMPUTED_VALUE"""),"1000056918")</f>
        <v>1000056918</v>
      </c>
      <c r="C14" s="35" t="str">
        <f>IFERROR(__xludf.DUMMYFUNCTION("""COMPUTED_VALUE"""),"Raktim Mondal Arjo")</f>
        <v>Raktim Mondal Arjo</v>
      </c>
      <c r="D14" s="36" t="str">
        <f>IFERROR(__xludf.DUMMYFUNCTION("""COMPUTED_VALUE"""),"raktim.mondal.arjo@g.bracu.ac.bd")</f>
        <v>raktim.mondal.arjo@g.bracu.ac.bd</v>
      </c>
      <c r="E14" s="24" t="b">
        <f>IFERROR(__xludf.DUMMYFUNCTION("""COMPUTED_VALUE"""),TRUE)</f>
        <v>1</v>
      </c>
      <c r="F14" s="3">
        <f>IFERROR(__xludf.DUMMYFUNCTION("""COMPUTED_VALUE"""),1.0)</f>
        <v>1</v>
      </c>
      <c r="G14" s="4" t="str">
        <f>IFERROR(__xludf.DUMMYFUNCTION("""COMPUTED_VALUE"""),"WARNING")</f>
        <v>WARNING</v>
      </c>
      <c r="H14" s="24">
        <f>IFERROR(__xludf.DUMMYFUNCTION("""COMPUTED_VALUE"""),1.0)</f>
        <v>1</v>
      </c>
      <c r="I14" s="3">
        <f>IFERROR(__xludf.DUMMYFUNCTION("""COMPUTED_VALUE"""),1.0)</f>
        <v>1</v>
      </c>
      <c r="J14" s="3">
        <f>IFERROR(__xludf.DUMMYFUNCTION("""COMPUTED_VALUE"""),1.0)</f>
        <v>1</v>
      </c>
      <c r="K14" s="3">
        <f>IFERROR(__xludf.DUMMYFUNCTION("""COMPUTED_VALUE"""),1.0)</f>
        <v>1</v>
      </c>
      <c r="L14" s="3">
        <f>IFERROR(__xludf.DUMMYFUNCTION("""COMPUTED_VALUE"""),1.0)</f>
        <v>1</v>
      </c>
      <c r="M14" s="3">
        <f>IFERROR(__xludf.DUMMYFUNCTION("""COMPUTED_VALUE"""),1.0)</f>
        <v>1</v>
      </c>
      <c r="N14" s="3">
        <f>IFERROR(__xludf.DUMMYFUNCTION("""COMPUTED_VALUE"""),0.0)</f>
        <v>0</v>
      </c>
      <c r="O14" s="4">
        <f>IFERROR(__xludf.DUMMYFUNCTION("""COMPUTED_VALUE"""),1.0)</f>
        <v>1</v>
      </c>
      <c r="P14" s="24"/>
      <c r="Q14" s="3">
        <f>IFERROR(__xludf.DUMMYFUNCTION("""COMPUTED_VALUE"""),5.0)</f>
        <v>5</v>
      </c>
      <c r="R14" s="3"/>
      <c r="S14" s="3"/>
      <c r="T14" s="3"/>
      <c r="U14" s="3">
        <f>IFERROR(__xludf.DUMMYFUNCTION("""COMPUTED_VALUE"""),4.0)</f>
        <v>4</v>
      </c>
      <c r="V14" s="3"/>
      <c r="W14" s="4"/>
      <c r="X14" s="24">
        <f>IFERROR(__xludf.DUMMYFUNCTION("""COMPUTED_VALUE"""),5.0)</f>
        <v>5</v>
      </c>
      <c r="Y14" s="3">
        <f>IFERROR(__xludf.DUMMYFUNCTION("""COMPUTED_VALUE"""),4.8)</f>
        <v>4.8</v>
      </c>
      <c r="Z14" s="3">
        <f>IFERROR(__xludf.DUMMYFUNCTION("""COMPUTED_VALUE"""),5.0)</f>
        <v>5</v>
      </c>
      <c r="AA14" s="3">
        <f>IFERROR(__xludf.DUMMYFUNCTION("""COMPUTED_VALUE"""),1.7)</f>
        <v>1.7</v>
      </c>
      <c r="AB14" s="3">
        <f>IFERROR(__xludf.DUMMYFUNCTION("""COMPUTED_VALUE"""),3.6)</f>
        <v>3.6</v>
      </c>
      <c r="AC14" s="3">
        <f>IFERROR(__xludf.DUMMYFUNCTION("""COMPUTED_VALUE"""),5.0)</f>
        <v>5</v>
      </c>
      <c r="AD14" s="4">
        <f>IFERROR(__xludf.DUMMYFUNCTION("""COMPUTED_VALUE"""),5.0)</f>
        <v>5</v>
      </c>
      <c r="AE14" s="24"/>
      <c r="AF14" s="3">
        <f>IFERROR(__xludf.DUMMYFUNCTION("""COMPUTED_VALUE"""),7.5)</f>
        <v>7.5</v>
      </c>
      <c r="AG14" s="3">
        <f>IFERROR(__xludf.DUMMYFUNCTION("""COMPUTED_VALUE"""),8.0)</f>
        <v>8</v>
      </c>
      <c r="AH14" s="4"/>
      <c r="AI14" s="24">
        <f>IFERROR(__xludf.DUMMYFUNCTION("""COMPUTED_VALUE"""),6.0)</f>
        <v>6</v>
      </c>
      <c r="AJ14" s="37">
        <f>IFERROR(__xludf.DUMMYFUNCTION("""COMPUTED_VALUE"""),0.0)</f>
        <v>0</v>
      </c>
      <c r="AK14" s="3">
        <f>IFERROR(__xludf.DUMMYFUNCTION("""COMPUTED_VALUE"""),14.334)</f>
        <v>14.334</v>
      </c>
      <c r="AL14" s="3">
        <f>IFERROR(__xludf.DUMMYFUNCTION("""COMPUTED_VALUE"""),2.7)</f>
        <v>2.7</v>
      </c>
      <c r="AM14" s="22">
        <f>IFERROR(__xludf.DUMMYFUNCTION("""COMPUTED_VALUE"""),1.505)</f>
        <v>1.505</v>
      </c>
      <c r="AN14" s="2">
        <f>IFERROR(__xludf.DUMMYFUNCTION("""COMPUTED_VALUE"""),18.75)</f>
        <v>18.75</v>
      </c>
      <c r="AO14" s="2"/>
      <c r="AP14" s="2"/>
      <c r="AQ14" s="2"/>
      <c r="AR14" s="2"/>
      <c r="AS14" s="2"/>
      <c r="AT14" s="2"/>
      <c r="AU14" s="2"/>
      <c r="AV14" s="2"/>
      <c r="AW14" s="2"/>
      <c r="AX14" s="2">
        <f>IFERROR(__xludf.DUMMYFUNCTION("""COMPUTED_VALUE"""),2.0)</f>
        <v>2</v>
      </c>
      <c r="AY14" s="2"/>
    </row>
    <row r="15">
      <c r="A15" s="3">
        <f>IFERROR(__xludf.DUMMYFUNCTION("""COMPUTED_VALUE"""),7.0)</f>
        <v>7</v>
      </c>
      <c r="B15" s="3" t="str">
        <f>IFERROR(__xludf.DUMMYFUNCTION("""COMPUTED_VALUE"""),"1000056985")</f>
        <v>1000056985</v>
      </c>
      <c r="C15" s="35" t="str">
        <f>IFERROR(__xludf.DUMMYFUNCTION("""COMPUTED_VALUE"""),"Al Samew")</f>
        <v>Al Samew</v>
      </c>
      <c r="D15" s="36" t="str">
        <f>IFERROR(__xludf.DUMMYFUNCTION("""COMPUTED_VALUE"""),"al.samew@g.bracu.ac.bd")</f>
        <v>al.samew@g.bracu.ac.bd</v>
      </c>
      <c r="E15" s="24" t="b">
        <f>IFERROR(__xludf.DUMMYFUNCTION("""COMPUTED_VALUE"""),TRUE)</f>
        <v>1</v>
      </c>
      <c r="F15" s="3">
        <f>IFERROR(__xludf.DUMMYFUNCTION("""COMPUTED_VALUE"""),2.0)</f>
        <v>2</v>
      </c>
      <c r="G15" s="4" t="str">
        <f>IFERROR(__xludf.DUMMYFUNCTION("""COMPUTED_VALUE"""),"BARRED")</f>
        <v>BARRED</v>
      </c>
      <c r="H15" s="24">
        <f>IFERROR(__xludf.DUMMYFUNCTION("""COMPUTED_VALUE"""),1.0)</f>
        <v>1</v>
      </c>
      <c r="I15" s="3">
        <f>IFERROR(__xludf.DUMMYFUNCTION("""COMPUTED_VALUE"""),1.0)</f>
        <v>1</v>
      </c>
      <c r="J15" s="3">
        <f>IFERROR(__xludf.DUMMYFUNCTION("""COMPUTED_VALUE"""),0.0)</f>
        <v>0</v>
      </c>
      <c r="K15" s="3">
        <f>IFERROR(__xludf.DUMMYFUNCTION("""COMPUTED_VALUE"""),1.0)</f>
        <v>1</v>
      </c>
      <c r="L15" s="3">
        <f>IFERROR(__xludf.DUMMYFUNCTION("""COMPUTED_VALUE"""),1.0)</f>
        <v>1</v>
      </c>
      <c r="M15" s="3">
        <f>IFERROR(__xludf.DUMMYFUNCTION("""COMPUTED_VALUE"""),1.0)</f>
        <v>1</v>
      </c>
      <c r="N15" s="3">
        <f>IFERROR(__xludf.DUMMYFUNCTION("""COMPUTED_VALUE"""),1.0)</f>
        <v>1</v>
      </c>
      <c r="O15" s="4">
        <f>IFERROR(__xludf.DUMMYFUNCTION("""COMPUTED_VALUE"""),0.0)</f>
        <v>0</v>
      </c>
      <c r="P15" s="24"/>
      <c r="Q15" s="3">
        <f>IFERROR(__xludf.DUMMYFUNCTION("""COMPUTED_VALUE"""),4.0)</f>
        <v>4</v>
      </c>
      <c r="R15" s="3"/>
      <c r="S15" s="3"/>
      <c r="T15" s="3"/>
      <c r="U15" s="3">
        <f>IFERROR(__xludf.DUMMYFUNCTION("""COMPUTED_VALUE"""),4.0)</f>
        <v>4</v>
      </c>
      <c r="V15" s="3"/>
      <c r="W15" s="4"/>
      <c r="X15" s="24">
        <f>IFERROR(__xludf.DUMMYFUNCTION("""COMPUTED_VALUE"""),0.0)</f>
        <v>0</v>
      </c>
      <c r="Y15" s="3" t="str">
        <f>IFERROR(__xludf.DUMMYFUNCTION("""COMPUTED_VALUE"""),"N")</f>
        <v>N</v>
      </c>
      <c r="Z15" s="3"/>
      <c r="AA15" s="3" t="str">
        <f>IFERROR(__xludf.DUMMYFUNCTION("""COMPUTED_VALUE"""),"N")</f>
        <v>N</v>
      </c>
      <c r="AB15" s="3" t="str">
        <f>IFERROR(__xludf.DUMMYFUNCTION("""COMPUTED_VALUE"""),"N")</f>
        <v>N</v>
      </c>
      <c r="AC15" s="3"/>
      <c r="AD15" s="4" t="str">
        <f>IFERROR(__xludf.DUMMYFUNCTION("""COMPUTED_VALUE"""),"N")</f>
        <v>N</v>
      </c>
      <c r="AE15" s="24"/>
      <c r="AF15" s="3"/>
      <c r="AG15" s="3">
        <f>IFERROR(__xludf.DUMMYFUNCTION("""COMPUTED_VALUE"""),3.0)</f>
        <v>3</v>
      </c>
      <c r="AH15" s="4">
        <f>IFERROR(__xludf.DUMMYFUNCTION("""COMPUTED_VALUE"""),2.25)</f>
        <v>2.25</v>
      </c>
      <c r="AI15" s="24"/>
      <c r="AJ15" s="37">
        <f>IFERROR(__xludf.DUMMYFUNCTION("""COMPUTED_VALUE"""),0.0)</f>
        <v>0</v>
      </c>
      <c r="AK15" s="3">
        <f>IFERROR(__xludf.DUMMYFUNCTION("""COMPUTED_VALUE"""),3.5)</f>
        <v>3.5</v>
      </c>
      <c r="AL15" s="3">
        <f>IFERROR(__xludf.DUMMYFUNCTION("""COMPUTED_VALUE"""),2.4)</f>
        <v>2.4</v>
      </c>
      <c r="AM15" s="22">
        <f>IFERROR(__xludf.DUMMYFUNCTION("""COMPUTED_VALUE"""),0.0)</f>
        <v>0</v>
      </c>
      <c r="AN15" s="2">
        <f>IFERROR(__xludf.DUMMYFUNCTION("""COMPUTED_VALUE"""),0.0)</f>
        <v>0</v>
      </c>
      <c r="AO15" s="2"/>
      <c r="AP15" s="2"/>
      <c r="AQ15" s="2"/>
      <c r="AR15" s="2"/>
      <c r="AS15" s="2"/>
      <c r="AT15" s="2"/>
      <c r="AU15" s="2"/>
      <c r="AV15" s="2"/>
      <c r="AW15" s="2"/>
      <c r="AX15" s="2">
        <f>IFERROR(__xludf.DUMMYFUNCTION("""COMPUTED_VALUE"""),2.0)</f>
        <v>2</v>
      </c>
      <c r="AY15" s="2"/>
    </row>
    <row r="16">
      <c r="A16" s="3">
        <f>IFERROR(__xludf.DUMMYFUNCTION("""COMPUTED_VALUE"""),8.0)</f>
        <v>8</v>
      </c>
      <c r="B16" s="3" t="str">
        <f>IFERROR(__xludf.DUMMYFUNCTION("""COMPUTED_VALUE"""),"1000057126")</f>
        <v>1000057126</v>
      </c>
      <c r="C16" s="35" t="str">
        <f>IFERROR(__xludf.DUMMYFUNCTION("""COMPUTED_VALUE"""),"Tanhim Nasif")</f>
        <v>Tanhim Nasif</v>
      </c>
      <c r="D16" s="36" t="str">
        <f>IFERROR(__xludf.DUMMYFUNCTION("""COMPUTED_VALUE"""),"tanhim.nasif@g.bracu.ac.bd")</f>
        <v>tanhim.nasif@g.bracu.ac.bd</v>
      </c>
      <c r="E16" s="24" t="b">
        <f>IFERROR(__xludf.DUMMYFUNCTION("""COMPUTED_VALUE"""),TRUE)</f>
        <v>1</v>
      </c>
      <c r="F16" s="3">
        <f>IFERROR(__xludf.DUMMYFUNCTION("""COMPUTED_VALUE"""),1.0)</f>
        <v>1</v>
      </c>
      <c r="G16" s="4" t="str">
        <f>IFERROR(__xludf.DUMMYFUNCTION("""COMPUTED_VALUE"""),"WARNING")</f>
        <v>WARNING</v>
      </c>
      <c r="H16" s="24">
        <f>IFERROR(__xludf.DUMMYFUNCTION("""COMPUTED_VALUE"""),1.0)</f>
        <v>1</v>
      </c>
      <c r="I16" s="3">
        <f>IFERROR(__xludf.DUMMYFUNCTION("""COMPUTED_VALUE"""),1.0)</f>
        <v>1</v>
      </c>
      <c r="J16" s="3">
        <f>IFERROR(__xludf.DUMMYFUNCTION("""COMPUTED_VALUE"""),1.0)</f>
        <v>1</v>
      </c>
      <c r="K16" s="3">
        <f>IFERROR(__xludf.DUMMYFUNCTION("""COMPUTED_VALUE"""),1.0)</f>
        <v>1</v>
      </c>
      <c r="L16" s="3">
        <f>IFERROR(__xludf.DUMMYFUNCTION("""COMPUTED_VALUE"""),1.0)</f>
        <v>1</v>
      </c>
      <c r="M16" s="3">
        <f>IFERROR(__xludf.DUMMYFUNCTION("""COMPUTED_VALUE"""),1.0)</f>
        <v>1</v>
      </c>
      <c r="N16" s="3">
        <f>IFERROR(__xludf.DUMMYFUNCTION("""COMPUTED_VALUE"""),0.0)</f>
        <v>0</v>
      </c>
      <c r="O16" s="4">
        <f>IFERROR(__xludf.DUMMYFUNCTION("""COMPUTED_VALUE"""),1.0)</f>
        <v>1</v>
      </c>
      <c r="P16" s="24"/>
      <c r="Q16" s="3">
        <f>IFERROR(__xludf.DUMMYFUNCTION("""COMPUTED_VALUE"""),5.0)</f>
        <v>5</v>
      </c>
      <c r="R16" s="3"/>
      <c r="S16" s="3"/>
      <c r="T16" s="3"/>
      <c r="U16" s="3">
        <f>IFERROR(__xludf.DUMMYFUNCTION("""COMPUTED_VALUE"""),2.0)</f>
        <v>2</v>
      </c>
      <c r="V16" s="3"/>
      <c r="W16" s="4"/>
      <c r="X16" s="24">
        <f>IFERROR(__xludf.DUMMYFUNCTION("""COMPUTED_VALUE"""),4.0)</f>
        <v>4</v>
      </c>
      <c r="Y16" s="3">
        <f>IFERROR(__xludf.DUMMYFUNCTION("""COMPUTED_VALUE"""),1.7)</f>
        <v>1.7</v>
      </c>
      <c r="Z16" s="3">
        <f>IFERROR(__xludf.DUMMYFUNCTION("""COMPUTED_VALUE"""),5.0)</f>
        <v>5</v>
      </c>
      <c r="AA16" s="3">
        <f>IFERROR(__xludf.DUMMYFUNCTION("""COMPUTED_VALUE"""),1.7)</f>
        <v>1.7</v>
      </c>
      <c r="AB16" s="3">
        <f>IFERROR(__xludf.DUMMYFUNCTION("""COMPUTED_VALUE"""),1.4)</f>
        <v>1.4</v>
      </c>
      <c r="AC16" s="3"/>
      <c r="AD16" s="4">
        <f>IFERROR(__xludf.DUMMYFUNCTION("""COMPUTED_VALUE"""),1.0)</f>
        <v>1</v>
      </c>
      <c r="AE16" s="24"/>
      <c r="AF16" s="3">
        <f>IFERROR(__xludf.DUMMYFUNCTION("""COMPUTED_VALUE"""),8.0)</f>
        <v>8</v>
      </c>
      <c r="AG16" s="3">
        <f>IFERROR(__xludf.DUMMYFUNCTION("""COMPUTED_VALUE"""),6.5)</f>
        <v>6.5</v>
      </c>
      <c r="AH16" s="4"/>
      <c r="AI16" s="24">
        <f>IFERROR(__xludf.DUMMYFUNCTION("""COMPUTED_VALUE"""),2.0)</f>
        <v>2</v>
      </c>
      <c r="AJ16" s="37">
        <f>IFERROR(__xludf.DUMMYFUNCTION("""COMPUTED_VALUE"""),0.0)</f>
        <v>0</v>
      </c>
      <c r="AK16" s="3">
        <f>IFERROR(__xludf.DUMMYFUNCTION("""COMPUTED_VALUE"""),11.0)</f>
        <v>11</v>
      </c>
      <c r="AL16" s="3">
        <f>IFERROR(__xludf.DUMMYFUNCTION("""COMPUTED_VALUE"""),2.1)</f>
        <v>2.1</v>
      </c>
      <c r="AM16" s="22">
        <f>IFERROR(__xludf.DUMMYFUNCTION("""COMPUTED_VALUE"""),0.74)</f>
        <v>0.74</v>
      </c>
      <c r="AN16" s="2">
        <f>IFERROR(__xludf.DUMMYFUNCTION("""COMPUTED_VALUE"""),14.0)</f>
        <v>14</v>
      </c>
      <c r="AO16" s="2"/>
      <c r="AP16" s="2"/>
      <c r="AQ16" s="2"/>
      <c r="AR16" s="2"/>
      <c r="AS16" s="2"/>
      <c r="AT16" s="2"/>
      <c r="AU16" s="2"/>
      <c r="AV16" s="2"/>
      <c r="AW16" s="2"/>
      <c r="AX16" s="2">
        <f>IFERROR(__xludf.DUMMYFUNCTION("""COMPUTED_VALUE"""),2.0)</f>
        <v>2</v>
      </c>
      <c r="AY16" s="2"/>
    </row>
    <row r="17">
      <c r="A17" s="3">
        <f>IFERROR(__xludf.DUMMYFUNCTION("""COMPUTED_VALUE"""),9.0)</f>
        <v>9</v>
      </c>
      <c r="B17" s="3" t="str">
        <f>IFERROR(__xludf.DUMMYFUNCTION("""COMPUTED_VALUE"""),"1000057457")</f>
        <v>1000057457</v>
      </c>
      <c r="C17" s="35" t="str">
        <f>IFERROR(__xludf.DUMMYFUNCTION("""COMPUTED_VALUE"""),"Fabiha Bushra")</f>
        <v>Fabiha Bushra</v>
      </c>
      <c r="D17" s="36" t="str">
        <f>IFERROR(__xludf.DUMMYFUNCTION("""COMPUTED_VALUE"""),"fabiha.bushra1@g.bracu.ac.bd")</f>
        <v>fabiha.bushra1@g.bracu.ac.bd</v>
      </c>
      <c r="E17" s="24" t="b">
        <f>IFERROR(__xludf.DUMMYFUNCTION("""COMPUTED_VALUE"""),TRUE)</f>
        <v>1</v>
      </c>
      <c r="F17" s="3">
        <f>IFERROR(__xludf.DUMMYFUNCTION("""COMPUTED_VALUE"""),0.0)</f>
        <v>0</v>
      </c>
      <c r="G17" s="4" t="str">
        <f>IFERROR(__xludf.DUMMYFUNCTION("""COMPUTED_VALUE"""),"OKAY")</f>
        <v>OKAY</v>
      </c>
      <c r="H17" s="24">
        <f>IFERROR(__xludf.DUMMYFUNCTION("""COMPUTED_VALUE"""),1.0)</f>
        <v>1</v>
      </c>
      <c r="I17" s="3">
        <f>IFERROR(__xludf.DUMMYFUNCTION("""COMPUTED_VALUE"""),1.0)</f>
        <v>1</v>
      </c>
      <c r="J17" s="3">
        <f>IFERROR(__xludf.DUMMYFUNCTION("""COMPUTED_VALUE"""),1.0)</f>
        <v>1</v>
      </c>
      <c r="K17" s="3">
        <f>IFERROR(__xludf.DUMMYFUNCTION("""COMPUTED_VALUE"""),1.0)</f>
        <v>1</v>
      </c>
      <c r="L17" s="3">
        <f>IFERROR(__xludf.DUMMYFUNCTION("""COMPUTED_VALUE"""),1.0)</f>
        <v>1</v>
      </c>
      <c r="M17" s="3">
        <f>IFERROR(__xludf.DUMMYFUNCTION("""COMPUTED_VALUE"""),1.0)</f>
        <v>1</v>
      </c>
      <c r="N17" s="3">
        <f>IFERROR(__xludf.DUMMYFUNCTION("""COMPUTED_VALUE"""),1.0)</f>
        <v>1</v>
      </c>
      <c r="O17" s="4">
        <f>IFERROR(__xludf.DUMMYFUNCTION("""COMPUTED_VALUE"""),1.0)</f>
        <v>1</v>
      </c>
      <c r="P17" s="24"/>
      <c r="Q17" s="3">
        <f>IFERROR(__xludf.DUMMYFUNCTION("""COMPUTED_VALUE"""),5.0)</f>
        <v>5</v>
      </c>
      <c r="R17" s="3"/>
      <c r="S17" s="3"/>
      <c r="T17" s="3"/>
      <c r="U17" s="3">
        <f>IFERROR(__xludf.DUMMYFUNCTION("""COMPUTED_VALUE"""),5.0)</f>
        <v>5</v>
      </c>
      <c r="V17" s="3"/>
      <c r="W17" s="4"/>
      <c r="X17" s="24">
        <f>IFERROR(__xludf.DUMMYFUNCTION("""COMPUTED_VALUE"""),5.0)</f>
        <v>5</v>
      </c>
      <c r="Y17" s="3">
        <f>IFERROR(__xludf.DUMMYFUNCTION("""COMPUTED_VALUE"""),5.0)</f>
        <v>5</v>
      </c>
      <c r="Z17" s="3">
        <f>IFERROR(__xludf.DUMMYFUNCTION("""COMPUTED_VALUE"""),5.0)</f>
        <v>5</v>
      </c>
      <c r="AA17" s="3">
        <f>IFERROR(__xludf.DUMMYFUNCTION("""COMPUTED_VALUE"""),4.7)</f>
        <v>4.7</v>
      </c>
      <c r="AB17" s="3">
        <f>IFERROR(__xludf.DUMMYFUNCTION("""COMPUTED_VALUE"""),5.0)</f>
        <v>5</v>
      </c>
      <c r="AC17" s="3">
        <f>IFERROR(__xludf.DUMMYFUNCTION("""COMPUTED_VALUE"""),5.0)</f>
        <v>5</v>
      </c>
      <c r="AD17" s="4">
        <f>IFERROR(__xludf.DUMMYFUNCTION("""COMPUTED_VALUE"""),5.0)</f>
        <v>5</v>
      </c>
      <c r="AE17" s="24">
        <f>IFERROR(__xludf.DUMMYFUNCTION("""COMPUTED_VALUE"""),5.0)</f>
        <v>5</v>
      </c>
      <c r="AF17" s="3">
        <f>IFERROR(__xludf.DUMMYFUNCTION("""COMPUTED_VALUE"""),9.0)</f>
        <v>9</v>
      </c>
      <c r="AG17" s="3">
        <f>IFERROR(__xludf.DUMMYFUNCTION("""COMPUTED_VALUE"""),8.5)</f>
        <v>8.5</v>
      </c>
      <c r="AH17" s="4">
        <f>IFERROR(__xludf.DUMMYFUNCTION("""COMPUTED_VALUE"""),8.25)</f>
        <v>8.25</v>
      </c>
      <c r="AI17" s="24">
        <f>IFERROR(__xludf.DUMMYFUNCTION("""COMPUTED_VALUE"""),4.0)</f>
        <v>4</v>
      </c>
      <c r="AJ17" s="37">
        <f>IFERROR(__xludf.DUMMYFUNCTION("""COMPUTED_VALUE"""),0.0)</f>
        <v>0</v>
      </c>
      <c r="AK17" s="3">
        <f>IFERROR(__xludf.DUMMYFUNCTION("""COMPUTED_VALUE"""),17.167)</f>
        <v>17.167</v>
      </c>
      <c r="AL17" s="3">
        <f>IFERROR(__xludf.DUMMYFUNCTION("""COMPUTED_VALUE"""),3.0)</f>
        <v>3</v>
      </c>
      <c r="AM17" s="22">
        <f>IFERROR(__xludf.DUMMYFUNCTION("""COMPUTED_VALUE"""),1.985)</f>
        <v>1.985</v>
      </c>
      <c r="AN17" s="2">
        <f>IFERROR(__xludf.DUMMYFUNCTION("""COMPUTED_VALUE"""),22.25)</f>
        <v>22.25</v>
      </c>
      <c r="AO17" s="2"/>
      <c r="AP17" s="2"/>
      <c r="AQ17" s="2"/>
      <c r="AR17" s="2"/>
      <c r="AS17" s="2"/>
      <c r="AT17" s="2"/>
      <c r="AU17" s="2"/>
      <c r="AV17" s="2"/>
      <c r="AW17" s="2"/>
      <c r="AX17" s="2">
        <f>IFERROR(__xludf.DUMMYFUNCTION("""COMPUTED_VALUE"""),2.0)</f>
        <v>2</v>
      </c>
      <c r="AY17" s="2"/>
    </row>
    <row r="18">
      <c r="A18" s="3">
        <f>IFERROR(__xludf.DUMMYFUNCTION("""COMPUTED_VALUE"""),10.0)</f>
        <v>10</v>
      </c>
      <c r="B18" s="3" t="str">
        <f>IFERROR(__xludf.DUMMYFUNCTION("""COMPUTED_VALUE"""),"1000057470")</f>
        <v>1000057470</v>
      </c>
      <c r="C18" s="35" t="str">
        <f>IFERROR(__xludf.DUMMYFUNCTION("""COMPUTED_VALUE"""),"Divyendu Guha")</f>
        <v>Divyendu Guha</v>
      </c>
      <c r="D18" s="36" t="str">
        <f>IFERROR(__xludf.DUMMYFUNCTION("""COMPUTED_VALUE"""),"divyendu.guha@g.bracu.ac.bd")</f>
        <v>divyendu.guha@g.bracu.ac.bd</v>
      </c>
      <c r="E18" s="24" t="b">
        <f>IFERROR(__xludf.DUMMYFUNCTION("""COMPUTED_VALUE"""),TRUE)</f>
        <v>1</v>
      </c>
      <c r="F18" s="3">
        <f>IFERROR(__xludf.DUMMYFUNCTION("""COMPUTED_VALUE"""),0.0)</f>
        <v>0</v>
      </c>
      <c r="G18" s="4" t="str">
        <f>IFERROR(__xludf.DUMMYFUNCTION("""COMPUTED_VALUE"""),"OKAY")</f>
        <v>OKAY</v>
      </c>
      <c r="H18" s="24">
        <f>IFERROR(__xludf.DUMMYFUNCTION("""COMPUTED_VALUE"""),1.0)</f>
        <v>1</v>
      </c>
      <c r="I18" s="3">
        <f>IFERROR(__xludf.DUMMYFUNCTION("""COMPUTED_VALUE"""),1.0)</f>
        <v>1</v>
      </c>
      <c r="J18" s="3">
        <f>IFERROR(__xludf.DUMMYFUNCTION("""COMPUTED_VALUE"""),1.0)</f>
        <v>1</v>
      </c>
      <c r="K18" s="3">
        <f>IFERROR(__xludf.DUMMYFUNCTION("""COMPUTED_VALUE"""),1.0)</f>
        <v>1</v>
      </c>
      <c r="L18" s="3">
        <f>IFERROR(__xludf.DUMMYFUNCTION("""COMPUTED_VALUE"""),1.0)</f>
        <v>1</v>
      </c>
      <c r="M18" s="3">
        <f>IFERROR(__xludf.DUMMYFUNCTION("""COMPUTED_VALUE"""),1.0)</f>
        <v>1</v>
      </c>
      <c r="N18" s="3">
        <f>IFERROR(__xludf.DUMMYFUNCTION("""COMPUTED_VALUE"""),1.0)</f>
        <v>1</v>
      </c>
      <c r="O18" s="4">
        <f>IFERROR(__xludf.DUMMYFUNCTION("""COMPUTED_VALUE"""),1.0)</f>
        <v>1</v>
      </c>
      <c r="P18" s="24"/>
      <c r="Q18" s="3">
        <f>IFERROR(__xludf.DUMMYFUNCTION("""COMPUTED_VALUE"""),4.0)</f>
        <v>4</v>
      </c>
      <c r="R18" s="3"/>
      <c r="S18" s="3"/>
      <c r="T18" s="3"/>
      <c r="U18" s="3">
        <f>IFERROR(__xludf.DUMMYFUNCTION("""COMPUTED_VALUE"""),5.0)</f>
        <v>5</v>
      </c>
      <c r="V18" s="3"/>
      <c r="W18" s="4"/>
      <c r="X18" s="24">
        <f>IFERROR(__xludf.DUMMYFUNCTION("""COMPUTED_VALUE"""),4.0)</f>
        <v>4</v>
      </c>
      <c r="Y18" s="3">
        <f>IFERROR(__xludf.DUMMYFUNCTION("""COMPUTED_VALUE"""),1.7)</f>
        <v>1.7</v>
      </c>
      <c r="Z18" s="3"/>
      <c r="AA18" s="3">
        <f>IFERROR(__xludf.DUMMYFUNCTION("""COMPUTED_VALUE"""),1.7)</f>
        <v>1.7</v>
      </c>
      <c r="AB18" s="3">
        <f>IFERROR(__xludf.DUMMYFUNCTION("""COMPUTED_VALUE"""),4.9)</f>
        <v>4.9</v>
      </c>
      <c r="AC18" s="3"/>
      <c r="AD18" s="4">
        <f>IFERROR(__xludf.DUMMYFUNCTION("""COMPUTED_VALUE"""),1.0)</f>
        <v>1</v>
      </c>
      <c r="AE18" s="24">
        <f>IFERROR(__xludf.DUMMYFUNCTION("""COMPUTED_VALUE"""),5.0)</f>
        <v>5</v>
      </c>
      <c r="AF18" s="3">
        <f>IFERROR(__xludf.DUMMYFUNCTION("""COMPUTED_VALUE"""),6.0)</f>
        <v>6</v>
      </c>
      <c r="AG18" s="3">
        <f>IFERROR(__xludf.DUMMYFUNCTION("""COMPUTED_VALUE"""),6.5)</f>
        <v>6.5</v>
      </c>
      <c r="AH18" s="4">
        <f>IFERROR(__xludf.DUMMYFUNCTION("""COMPUTED_VALUE"""),4.0)</f>
        <v>4</v>
      </c>
      <c r="AI18" s="24">
        <f>IFERROR(__xludf.DUMMYFUNCTION("""COMPUTED_VALUE"""),2.0)</f>
        <v>2</v>
      </c>
      <c r="AJ18" s="37">
        <f>IFERROR(__xludf.DUMMYFUNCTION("""COMPUTED_VALUE"""),0.0)</f>
        <v>0</v>
      </c>
      <c r="AK18" s="3">
        <f>IFERROR(__xludf.DUMMYFUNCTION("""COMPUTED_VALUE"""),11.0)</f>
        <v>11</v>
      </c>
      <c r="AL18" s="3">
        <f>IFERROR(__xludf.DUMMYFUNCTION("""COMPUTED_VALUE"""),2.7)</f>
        <v>2.7</v>
      </c>
      <c r="AM18" s="22">
        <f>IFERROR(__xludf.DUMMYFUNCTION("""COMPUTED_VALUE"""),0.915)</f>
        <v>0.915</v>
      </c>
      <c r="AN18" s="2">
        <f>IFERROR(__xludf.DUMMYFUNCTION("""COMPUTED_VALUE"""),14.75)</f>
        <v>14.75</v>
      </c>
      <c r="AO18" s="2"/>
      <c r="AP18" s="2"/>
      <c r="AQ18" s="2"/>
      <c r="AR18" s="2"/>
      <c r="AS18" s="2"/>
      <c r="AT18" s="2"/>
      <c r="AU18" s="2"/>
      <c r="AV18" s="2"/>
      <c r="AW18" s="2"/>
      <c r="AX18" s="2">
        <f>IFERROR(__xludf.DUMMYFUNCTION("""COMPUTED_VALUE"""),2.0)</f>
        <v>2</v>
      </c>
      <c r="AY18" s="2"/>
    </row>
    <row r="19">
      <c r="A19" s="3">
        <f>IFERROR(__xludf.DUMMYFUNCTION("""COMPUTED_VALUE"""),11.0)</f>
        <v>11</v>
      </c>
      <c r="B19" s="3" t="str">
        <f>IFERROR(__xludf.DUMMYFUNCTION("""COMPUTED_VALUE"""),"1000057472")</f>
        <v>1000057472</v>
      </c>
      <c r="C19" s="35" t="str">
        <f>IFERROR(__xludf.DUMMYFUNCTION("""COMPUTED_VALUE"""),"Sana Ullah Afnan")</f>
        <v>Sana Ullah Afnan</v>
      </c>
      <c r="D19" s="36" t="str">
        <f>IFERROR(__xludf.DUMMYFUNCTION("""COMPUTED_VALUE"""),"sana.ullah.afnan@g.bracu.ac.bd")</f>
        <v>sana.ullah.afnan@g.bracu.ac.bd</v>
      </c>
      <c r="E19" s="24" t="b">
        <f>IFERROR(__xludf.DUMMYFUNCTION("""COMPUTED_VALUE"""),TRUE)</f>
        <v>1</v>
      </c>
      <c r="F19" s="3">
        <f>IFERROR(__xludf.DUMMYFUNCTION("""COMPUTED_VALUE"""),0.0)</f>
        <v>0</v>
      </c>
      <c r="G19" s="4" t="str">
        <f>IFERROR(__xludf.DUMMYFUNCTION("""COMPUTED_VALUE"""),"OKAY")</f>
        <v>OKAY</v>
      </c>
      <c r="H19" s="24">
        <f>IFERROR(__xludf.DUMMYFUNCTION("""COMPUTED_VALUE"""),1.0)</f>
        <v>1</v>
      </c>
      <c r="I19" s="3">
        <f>IFERROR(__xludf.DUMMYFUNCTION("""COMPUTED_VALUE"""),1.0)</f>
        <v>1</v>
      </c>
      <c r="J19" s="3">
        <f>IFERROR(__xludf.DUMMYFUNCTION("""COMPUTED_VALUE"""),1.0)</f>
        <v>1</v>
      </c>
      <c r="K19" s="3">
        <f>IFERROR(__xludf.DUMMYFUNCTION("""COMPUTED_VALUE"""),1.0)</f>
        <v>1</v>
      </c>
      <c r="L19" s="3">
        <f>IFERROR(__xludf.DUMMYFUNCTION("""COMPUTED_VALUE"""),1.0)</f>
        <v>1</v>
      </c>
      <c r="M19" s="3">
        <f>IFERROR(__xludf.DUMMYFUNCTION("""COMPUTED_VALUE"""),1.0)</f>
        <v>1</v>
      </c>
      <c r="N19" s="3">
        <f>IFERROR(__xludf.DUMMYFUNCTION("""COMPUTED_VALUE"""),1.0)</f>
        <v>1</v>
      </c>
      <c r="O19" s="4">
        <f>IFERROR(__xludf.DUMMYFUNCTION("""COMPUTED_VALUE"""),1.0)</f>
        <v>1</v>
      </c>
      <c r="P19" s="24"/>
      <c r="Q19" s="3">
        <f>IFERROR(__xludf.DUMMYFUNCTION("""COMPUTED_VALUE"""),4.0)</f>
        <v>4</v>
      </c>
      <c r="R19" s="3"/>
      <c r="S19" s="3"/>
      <c r="T19" s="3"/>
      <c r="U19" s="3">
        <f>IFERROR(__xludf.DUMMYFUNCTION("""COMPUTED_VALUE"""),5.0)</f>
        <v>5</v>
      </c>
      <c r="V19" s="3"/>
      <c r="W19" s="4"/>
      <c r="X19" s="24">
        <f>IFERROR(__xludf.DUMMYFUNCTION("""COMPUTED_VALUE"""),5.0)</f>
        <v>5</v>
      </c>
      <c r="Y19" s="3">
        <f>IFERROR(__xludf.DUMMYFUNCTION("""COMPUTED_VALUE"""),3.3)</f>
        <v>3.3</v>
      </c>
      <c r="Z19" s="3">
        <f>IFERROR(__xludf.DUMMYFUNCTION("""COMPUTED_VALUE"""),5.0)</f>
        <v>5</v>
      </c>
      <c r="AA19" s="3">
        <f>IFERROR(__xludf.DUMMYFUNCTION("""COMPUTED_VALUE"""),5.0)</f>
        <v>5</v>
      </c>
      <c r="AB19" s="3">
        <f>IFERROR(__xludf.DUMMYFUNCTION("""COMPUTED_VALUE"""),4.7)</f>
        <v>4.7</v>
      </c>
      <c r="AC19" s="3">
        <f>IFERROR(__xludf.DUMMYFUNCTION("""COMPUTED_VALUE"""),5.0)</f>
        <v>5</v>
      </c>
      <c r="AD19" s="4">
        <f>IFERROR(__xludf.DUMMYFUNCTION("""COMPUTED_VALUE"""),5.0)</f>
        <v>5</v>
      </c>
      <c r="AE19" s="24"/>
      <c r="AF19" s="3">
        <f>IFERROR(__xludf.DUMMYFUNCTION("""COMPUTED_VALUE"""),7.0)</f>
        <v>7</v>
      </c>
      <c r="AG19" s="3">
        <f>IFERROR(__xludf.DUMMYFUNCTION("""COMPUTED_VALUE"""),7.0)</f>
        <v>7</v>
      </c>
      <c r="AH19" s="4">
        <f>IFERROR(__xludf.DUMMYFUNCTION("""COMPUTED_VALUE"""),7.25)</f>
        <v>7.25</v>
      </c>
      <c r="AI19" s="24">
        <f>IFERROR(__xludf.DUMMYFUNCTION("""COMPUTED_VALUE"""),4.0)</f>
        <v>4</v>
      </c>
      <c r="AJ19" s="37">
        <f>IFERROR(__xludf.DUMMYFUNCTION("""COMPUTED_VALUE"""),0.0)</f>
        <v>0</v>
      </c>
      <c r="AK19" s="3">
        <f>IFERROR(__xludf.DUMMYFUNCTION("""COMPUTED_VALUE"""),14.167)</f>
        <v>14.167</v>
      </c>
      <c r="AL19" s="3">
        <f>IFERROR(__xludf.DUMMYFUNCTION("""COMPUTED_VALUE"""),2.7)</f>
        <v>2.7</v>
      </c>
      <c r="AM19" s="22">
        <f>IFERROR(__xludf.DUMMYFUNCTION("""COMPUTED_VALUE"""),1.65)</f>
        <v>1.65</v>
      </c>
      <c r="AN19" s="2">
        <f>IFERROR(__xludf.DUMMYFUNCTION("""COMPUTED_VALUE"""),18.75)</f>
        <v>18.75</v>
      </c>
      <c r="AO19" s="2"/>
      <c r="AP19" s="2"/>
      <c r="AQ19" s="2"/>
      <c r="AR19" s="2"/>
      <c r="AS19" s="2"/>
      <c r="AT19" s="2"/>
      <c r="AU19" s="2"/>
      <c r="AV19" s="2"/>
      <c r="AW19" s="2"/>
      <c r="AX19" s="2">
        <f>IFERROR(__xludf.DUMMYFUNCTION("""COMPUTED_VALUE"""),2.0)</f>
        <v>2</v>
      </c>
      <c r="AY19" s="2"/>
    </row>
    <row r="20">
      <c r="A20" s="3">
        <f>IFERROR(__xludf.DUMMYFUNCTION("""COMPUTED_VALUE"""),12.0)</f>
        <v>12</v>
      </c>
      <c r="B20" s="3" t="str">
        <f>IFERROR(__xludf.DUMMYFUNCTION("""COMPUTED_VALUE"""),"1000057529")</f>
        <v>1000057529</v>
      </c>
      <c r="C20" s="35" t="str">
        <f>IFERROR(__xludf.DUMMYFUNCTION("""COMPUTED_VALUE"""),"Md Hossain Mahamud Sunny")</f>
        <v>Md Hossain Mahamud Sunny</v>
      </c>
      <c r="D20" s="36" t="str">
        <f>IFERROR(__xludf.DUMMYFUNCTION("""COMPUTED_VALUE"""),"hossain.mahamud.sunny@g.bracu.ac.bd")</f>
        <v>hossain.mahamud.sunny@g.bracu.ac.bd</v>
      </c>
      <c r="E20" s="24" t="b">
        <f>IFERROR(__xludf.DUMMYFUNCTION("""COMPUTED_VALUE"""),TRUE)</f>
        <v>1</v>
      </c>
      <c r="F20" s="3">
        <f>IFERROR(__xludf.DUMMYFUNCTION("""COMPUTED_VALUE"""),0.0)</f>
        <v>0</v>
      </c>
      <c r="G20" s="4" t="str">
        <f>IFERROR(__xludf.DUMMYFUNCTION("""COMPUTED_VALUE"""),"OKAY")</f>
        <v>OKAY</v>
      </c>
      <c r="H20" s="24">
        <f>IFERROR(__xludf.DUMMYFUNCTION("""COMPUTED_VALUE"""),1.0)</f>
        <v>1</v>
      </c>
      <c r="I20" s="3">
        <f>IFERROR(__xludf.DUMMYFUNCTION("""COMPUTED_VALUE"""),1.0)</f>
        <v>1</v>
      </c>
      <c r="J20" s="3">
        <f>IFERROR(__xludf.DUMMYFUNCTION("""COMPUTED_VALUE"""),1.0)</f>
        <v>1</v>
      </c>
      <c r="K20" s="3">
        <f>IFERROR(__xludf.DUMMYFUNCTION("""COMPUTED_VALUE"""),1.0)</f>
        <v>1</v>
      </c>
      <c r="L20" s="3">
        <f>IFERROR(__xludf.DUMMYFUNCTION("""COMPUTED_VALUE"""),1.0)</f>
        <v>1</v>
      </c>
      <c r="M20" s="3">
        <f>IFERROR(__xludf.DUMMYFUNCTION("""COMPUTED_VALUE"""),1.0)</f>
        <v>1</v>
      </c>
      <c r="N20" s="3">
        <f>IFERROR(__xludf.DUMMYFUNCTION("""COMPUTED_VALUE"""),1.0)</f>
        <v>1</v>
      </c>
      <c r="O20" s="4">
        <f>IFERROR(__xludf.DUMMYFUNCTION("""COMPUTED_VALUE"""),1.0)</f>
        <v>1</v>
      </c>
      <c r="P20" s="24"/>
      <c r="Q20" s="3">
        <f>IFERROR(__xludf.DUMMYFUNCTION("""COMPUTED_VALUE"""),4.5)</f>
        <v>4.5</v>
      </c>
      <c r="R20" s="3"/>
      <c r="S20" s="3"/>
      <c r="T20" s="3"/>
      <c r="U20" s="3">
        <f>IFERROR(__xludf.DUMMYFUNCTION("""COMPUTED_VALUE"""),5.0)</f>
        <v>5</v>
      </c>
      <c r="V20" s="3"/>
      <c r="W20" s="4"/>
      <c r="X20" s="24">
        <f>IFERROR(__xludf.DUMMYFUNCTION("""COMPUTED_VALUE"""),4.0)</f>
        <v>4</v>
      </c>
      <c r="Y20" s="3">
        <f>IFERROR(__xludf.DUMMYFUNCTION("""COMPUTED_VALUE"""),3.3)</f>
        <v>3.3</v>
      </c>
      <c r="Z20" s="3">
        <f>IFERROR(__xludf.DUMMYFUNCTION("""COMPUTED_VALUE"""),5.0)</f>
        <v>5</v>
      </c>
      <c r="AA20" s="3">
        <f>IFERROR(__xludf.DUMMYFUNCTION("""COMPUTED_VALUE"""),3.5)</f>
        <v>3.5</v>
      </c>
      <c r="AB20" s="3">
        <f>IFERROR(__xludf.DUMMYFUNCTION("""COMPUTED_VALUE"""),5.0)</f>
        <v>5</v>
      </c>
      <c r="AC20" s="3">
        <f>IFERROR(__xludf.DUMMYFUNCTION("""COMPUTED_VALUE"""),5.0)</f>
        <v>5</v>
      </c>
      <c r="AD20" s="4">
        <f>IFERROR(__xludf.DUMMYFUNCTION("""COMPUTED_VALUE"""),5.0)</f>
        <v>5</v>
      </c>
      <c r="AE20" s="24">
        <f>IFERROR(__xludf.DUMMYFUNCTION("""COMPUTED_VALUE"""),5.0)</f>
        <v>5</v>
      </c>
      <c r="AF20" s="3">
        <f>IFERROR(__xludf.DUMMYFUNCTION("""COMPUTED_VALUE"""),5.0)</f>
        <v>5</v>
      </c>
      <c r="AG20" s="3">
        <f>IFERROR(__xludf.DUMMYFUNCTION("""COMPUTED_VALUE"""),8.5)</f>
        <v>8.5</v>
      </c>
      <c r="AH20" s="4">
        <f>IFERROR(__xludf.DUMMYFUNCTION("""COMPUTED_VALUE"""),7.75)</f>
        <v>7.75</v>
      </c>
      <c r="AI20" s="24">
        <f>IFERROR(__xludf.DUMMYFUNCTION("""COMPUTED_VALUE"""),2.0)</f>
        <v>2</v>
      </c>
      <c r="AJ20" s="37">
        <f>IFERROR(__xludf.DUMMYFUNCTION("""COMPUTED_VALUE"""),0.0)</f>
        <v>0</v>
      </c>
      <c r="AK20" s="3">
        <f>IFERROR(__xludf.DUMMYFUNCTION("""COMPUTED_VALUE"""),14.167)</f>
        <v>14.167</v>
      </c>
      <c r="AL20" s="3">
        <f>IFERROR(__xludf.DUMMYFUNCTION("""COMPUTED_VALUE"""),2.85)</f>
        <v>2.85</v>
      </c>
      <c r="AM20" s="22">
        <f>IFERROR(__xludf.DUMMYFUNCTION("""COMPUTED_VALUE"""),1.79)</f>
        <v>1.79</v>
      </c>
      <c r="AN20" s="2">
        <f>IFERROR(__xludf.DUMMYFUNCTION("""COMPUTED_VALUE"""),19.0)</f>
        <v>19</v>
      </c>
      <c r="AO20" s="2"/>
      <c r="AP20" s="2"/>
      <c r="AQ20" s="2"/>
      <c r="AR20" s="2"/>
      <c r="AS20" s="2"/>
      <c r="AT20" s="2"/>
      <c r="AU20" s="2"/>
      <c r="AV20" s="2"/>
      <c r="AW20" s="2"/>
      <c r="AX20" s="2">
        <f>IFERROR(__xludf.DUMMYFUNCTION("""COMPUTED_VALUE"""),2.0)</f>
        <v>2</v>
      </c>
      <c r="AY20" s="2"/>
    </row>
    <row r="21">
      <c r="A21" s="3">
        <f>IFERROR(__xludf.DUMMYFUNCTION("""COMPUTED_VALUE"""),13.0)</f>
        <v>13</v>
      </c>
      <c r="B21" s="3" t="str">
        <f>IFERROR(__xludf.DUMMYFUNCTION("""COMPUTED_VALUE"""),"1000057550")</f>
        <v>1000057550</v>
      </c>
      <c r="C21" s="35" t="str">
        <f>IFERROR(__xludf.DUMMYFUNCTION("""COMPUTED_VALUE"""),"Sumaiya Tarannum")</f>
        <v>Sumaiya Tarannum</v>
      </c>
      <c r="D21" s="36" t="str">
        <f>IFERROR(__xludf.DUMMYFUNCTION("""COMPUTED_VALUE"""),"sumaiya.tarannum@g.bracu.ac.bd")</f>
        <v>sumaiya.tarannum@g.bracu.ac.bd</v>
      </c>
      <c r="E21" s="24" t="b">
        <f>IFERROR(__xludf.DUMMYFUNCTION("""COMPUTED_VALUE"""),TRUE)</f>
        <v>1</v>
      </c>
      <c r="F21" s="3">
        <f>IFERROR(__xludf.DUMMYFUNCTION("""COMPUTED_VALUE"""),0.0)</f>
        <v>0</v>
      </c>
      <c r="G21" s="4" t="str">
        <f>IFERROR(__xludf.DUMMYFUNCTION("""COMPUTED_VALUE"""),"OKAY")</f>
        <v>OKAY</v>
      </c>
      <c r="H21" s="24">
        <f>IFERROR(__xludf.DUMMYFUNCTION("""COMPUTED_VALUE"""),1.0)</f>
        <v>1</v>
      </c>
      <c r="I21" s="3">
        <f>IFERROR(__xludf.DUMMYFUNCTION("""COMPUTED_VALUE"""),1.0)</f>
        <v>1</v>
      </c>
      <c r="J21" s="3">
        <f>IFERROR(__xludf.DUMMYFUNCTION("""COMPUTED_VALUE"""),1.0)</f>
        <v>1</v>
      </c>
      <c r="K21" s="3">
        <f>IFERROR(__xludf.DUMMYFUNCTION("""COMPUTED_VALUE"""),1.0)</f>
        <v>1</v>
      </c>
      <c r="L21" s="3">
        <f>IFERROR(__xludf.DUMMYFUNCTION("""COMPUTED_VALUE"""),1.0)</f>
        <v>1</v>
      </c>
      <c r="M21" s="3">
        <f>IFERROR(__xludf.DUMMYFUNCTION("""COMPUTED_VALUE"""),1.0)</f>
        <v>1</v>
      </c>
      <c r="N21" s="3">
        <f>IFERROR(__xludf.DUMMYFUNCTION("""COMPUTED_VALUE"""),1.0)</f>
        <v>1</v>
      </c>
      <c r="O21" s="4">
        <f>IFERROR(__xludf.DUMMYFUNCTION("""COMPUTED_VALUE"""),1.0)</f>
        <v>1</v>
      </c>
      <c r="P21" s="24"/>
      <c r="Q21" s="3">
        <f>IFERROR(__xludf.DUMMYFUNCTION("""COMPUTED_VALUE"""),3.5)</f>
        <v>3.5</v>
      </c>
      <c r="R21" s="3"/>
      <c r="S21" s="3"/>
      <c r="T21" s="3"/>
      <c r="U21" s="3">
        <f>IFERROR(__xludf.DUMMYFUNCTION("""COMPUTED_VALUE"""),5.0)</f>
        <v>5</v>
      </c>
      <c r="V21" s="3"/>
      <c r="W21" s="4"/>
      <c r="X21" s="24">
        <f>IFERROR(__xludf.DUMMYFUNCTION("""COMPUTED_VALUE"""),5.0)</f>
        <v>5</v>
      </c>
      <c r="Y21" s="3">
        <f>IFERROR(__xludf.DUMMYFUNCTION("""COMPUTED_VALUE"""),5.0)</f>
        <v>5</v>
      </c>
      <c r="Z21" s="3">
        <f>IFERROR(__xludf.DUMMYFUNCTION("""COMPUTED_VALUE"""),5.0)</f>
        <v>5</v>
      </c>
      <c r="AA21" s="3">
        <f>IFERROR(__xludf.DUMMYFUNCTION("""COMPUTED_VALUE"""),4.8)</f>
        <v>4.8</v>
      </c>
      <c r="AB21" s="3">
        <f>IFERROR(__xludf.DUMMYFUNCTION("""COMPUTED_VALUE"""),5.0)</f>
        <v>5</v>
      </c>
      <c r="AC21" s="3">
        <f>IFERROR(__xludf.DUMMYFUNCTION("""COMPUTED_VALUE"""),5.0)</f>
        <v>5</v>
      </c>
      <c r="AD21" s="4">
        <f>IFERROR(__xludf.DUMMYFUNCTION("""COMPUTED_VALUE"""),5.0)</f>
        <v>5</v>
      </c>
      <c r="AE21" s="24">
        <f>IFERROR(__xludf.DUMMYFUNCTION("""COMPUTED_VALUE"""),5.0)</f>
        <v>5</v>
      </c>
      <c r="AF21" s="3">
        <f>IFERROR(__xludf.DUMMYFUNCTION("""COMPUTED_VALUE"""),7.0)</f>
        <v>7</v>
      </c>
      <c r="AG21" s="3">
        <f>IFERROR(__xludf.DUMMYFUNCTION("""COMPUTED_VALUE"""),6.0)</f>
        <v>6</v>
      </c>
      <c r="AH21" s="4">
        <f>IFERROR(__xludf.DUMMYFUNCTION("""COMPUTED_VALUE"""),5.75)</f>
        <v>5.75</v>
      </c>
      <c r="AI21" s="24">
        <f>IFERROR(__xludf.DUMMYFUNCTION("""COMPUTED_VALUE"""),6.0)</f>
        <v>6</v>
      </c>
      <c r="AJ21" s="37">
        <f>IFERROR(__xludf.DUMMYFUNCTION("""COMPUTED_VALUE"""),0.0)</f>
        <v>0</v>
      </c>
      <c r="AK21" s="3">
        <f>IFERROR(__xludf.DUMMYFUNCTION("""COMPUTED_VALUE"""),12.667)</f>
        <v>12.667</v>
      </c>
      <c r="AL21" s="3">
        <f>IFERROR(__xludf.DUMMYFUNCTION("""COMPUTED_VALUE"""),2.55)</f>
        <v>2.55</v>
      </c>
      <c r="AM21" s="22">
        <f>IFERROR(__xludf.DUMMYFUNCTION("""COMPUTED_VALUE"""),1.99)</f>
        <v>1.99</v>
      </c>
      <c r="AN21" s="2">
        <f>IFERROR(__xludf.DUMMYFUNCTION("""COMPUTED_VALUE"""),17.25)</f>
        <v>17.25</v>
      </c>
      <c r="AO21" s="2"/>
      <c r="AP21" s="2"/>
      <c r="AQ21" s="2"/>
      <c r="AR21" s="2"/>
      <c r="AS21" s="2"/>
      <c r="AT21" s="2"/>
      <c r="AU21" s="2"/>
      <c r="AV21" s="2"/>
      <c r="AW21" s="2"/>
      <c r="AX21" s="2">
        <f>IFERROR(__xludf.DUMMYFUNCTION("""COMPUTED_VALUE"""),2.0)</f>
        <v>2</v>
      </c>
      <c r="AY21" s="2"/>
    </row>
    <row r="22">
      <c r="A22" s="3">
        <f>IFERROR(__xludf.DUMMYFUNCTION("""COMPUTED_VALUE"""),14.0)</f>
        <v>14</v>
      </c>
      <c r="B22" s="3" t="str">
        <f>IFERROR(__xludf.DUMMYFUNCTION("""COMPUTED_VALUE"""),"1000057709")</f>
        <v>1000057709</v>
      </c>
      <c r="C22" s="35" t="str">
        <f>IFERROR(__xludf.DUMMYFUNCTION("""COMPUTED_VALUE"""),"Golam Saqlain Shafin")</f>
        <v>Golam Saqlain Shafin</v>
      </c>
      <c r="D22" s="36" t="str">
        <f>IFERROR(__xludf.DUMMYFUNCTION("""COMPUTED_VALUE"""),"golam.saqlain.shafin@g.bracu.ac.bd")</f>
        <v>golam.saqlain.shafin@g.bracu.ac.bd</v>
      </c>
      <c r="E22" s="24" t="b">
        <f>IFERROR(__xludf.DUMMYFUNCTION("""COMPUTED_VALUE"""),TRUE)</f>
        <v>1</v>
      </c>
      <c r="F22" s="3">
        <f>IFERROR(__xludf.DUMMYFUNCTION("""COMPUTED_VALUE"""),0.0)</f>
        <v>0</v>
      </c>
      <c r="G22" s="4" t="str">
        <f>IFERROR(__xludf.DUMMYFUNCTION("""COMPUTED_VALUE"""),"OKAY")</f>
        <v>OKAY</v>
      </c>
      <c r="H22" s="24">
        <f>IFERROR(__xludf.DUMMYFUNCTION("""COMPUTED_VALUE"""),1.0)</f>
        <v>1</v>
      </c>
      <c r="I22" s="3">
        <f>IFERROR(__xludf.DUMMYFUNCTION("""COMPUTED_VALUE"""),1.0)</f>
        <v>1</v>
      </c>
      <c r="J22" s="3">
        <f>IFERROR(__xludf.DUMMYFUNCTION("""COMPUTED_VALUE"""),1.0)</f>
        <v>1</v>
      </c>
      <c r="K22" s="3">
        <f>IFERROR(__xludf.DUMMYFUNCTION("""COMPUTED_VALUE"""),1.0)</f>
        <v>1</v>
      </c>
      <c r="L22" s="3">
        <f>IFERROR(__xludf.DUMMYFUNCTION("""COMPUTED_VALUE"""),1.0)</f>
        <v>1</v>
      </c>
      <c r="M22" s="3">
        <f>IFERROR(__xludf.DUMMYFUNCTION("""COMPUTED_VALUE"""),1.0)</f>
        <v>1</v>
      </c>
      <c r="N22" s="3">
        <f>IFERROR(__xludf.DUMMYFUNCTION("""COMPUTED_VALUE"""),1.0)</f>
        <v>1</v>
      </c>
      <c r="O22" s="4">
        <f>IFERROR(__xludf.DUMMYFUNCTION("""COMPUTED_VALUE"""),1.0)</f>
        <v>1</v>
      </c>
      <c r="P22" s="24"/>
      <c r="Q22" s="3">
        <f>IFERROR(__xludf.DUMMYFUNCTION("""COMPUTED_VALUE"""),4.0)</f>
        <v>4</v>
      </c>
      <c r="R22" s="3"/>
      <c r="S22" s="3"/>
      <c r="T22" s="3"/>
      <c r="U22" s="3">
        <f>IFERROR(__xludf.DUMMYFUNCTION("""COMPUTED_VALUE"""),2.5)</f>
        <v>2.5</v>
      </c>
      <c r="V22" s="3"/>
      <c r="W22" s="4"/>
      <c r="X22" s="24">
        <f>IFERROR(__xludf.DUMMYFUNCTION("""COMPUTED_VALUE"""),5.0)</f>
        <v>5</v>
      </c>
      <c r="Y22" s="3">
        <f>IFERROR(__xludf.DUMMYFUNCTION("""COMPUTED_VALUE"""),5.0)</f>
        <v>5</v>
      </c>
      <c r="Z22" s="3">
        <f>IFERROR(__xludf.DUMMYFUNCTION("""COMPUTED_VALUE"""),5.0)</f>
        <v>5</v>
      </c>
      <c r="AA22" s="3">
        <f>IFERROR(__xludf.DUMMYFUNCTION("""COMPUTED_VALUE"""),5.0)</f>
        <v>5</v>
      </c>
      <c r="AB22" s="3">
        <f>IFERROR(__xludf.DUMMYFUNCTION("""COMPUTED_VALUE"""),4.7)</f>
        <v>4.7</v>
      </c>
      <c r="AC22" s="3">
        <f>IFERROR(__xludf.DUMMYFUNCTION("""COMPUTED_VALUE"""),5.0)</f>
        <v>5</v>
      </c>
      <c r="AD22" s="4">
        <f>IFERROR(__xludf.DUMMYFUNCTION("""COMPUTED_VALUE"""),5.0)</f>
        <v>5</v>
      </c>
      <c r="AE22" s="24">
        <f>IFERROR(__xludf.DUMMYFUNCTION("""COMPUTED_VALUE"""),5.0)</f>
        <v>5</v>
      </c>
      <c r="AF22" s="3">
        <f>IFERROR(__xludf.DUMMYFUNCTION("""COMPUTED_VALUE"""),2.5)</f>
        <v>2.5</v>
      </c>
      <c r="AG22" s="3">
        <f>IFERROR(__xludf.DUMMYFUNCTION("""COMPUTED_VALUE"""),5.0)</f>
        <v>5</v>
      </c>
      <c r="AH22" s="4">
        <f>IFERROR(__xludf.DUMMYFUNCTION("""COMPUTED_VALUE"""),6.75)</f>
        <v>6.75</v>
      </c>
      <c r="AI22" s="24">
        <f>IFERROR(__xludf.DUMMYFUNCTION("""COMPUTED_VALUE"""),1.0)</f>
        <v>1</v>
      </c>
      <c r="AJ22" s="37">
        <f>IFERROR(__xludf.DUMMYFUNCTION("""COMPUTED_VALUE"""),0.0)</f>
        <v>0</v>
      </c>
      <c r="AK22" s="3">
        <f>IFERROR(__xludf.DUMMYFUNCTION("""COMPUTED_VALUE"""),9.5)</f>
        <v>9.5</v>
      </c>
      <c r="AL22" s="3">
        <f>IFERROR(__xludf.DUMMYFUNCTION("""COMPUTED_VALUE"""),1.95)</f>
        <v>1.95</v>
      </c>
      <c r="AM22" s="22">
        <f>IFERROR(__xludf.DUMMYFUNCTION("""COMPUTED_VALUE"""),1.985)</f>
        <v>1.985</v>
      </c>
      <c r="AN22" s="2">
        <f>IFERROR(__xludf.DUMMYFUNCTION("""COMPUTED_VALUE"""),13.5)</f>
        <v>13.5</v>
      </c>
      <c r="AO22" s="2"/>
      <c r="AP22" s="2"/>
      <c r="AQ22" s="2"/>
      <c r="AR22" s="2"/>
      <c r="AS22" s="2"/>
      <c r="AT22" s="2"/>
      <c r="AU22" s="2"/>
      <c r="AV22" s="2"/>
      <c r="AW22" s="2"/>
      <c r="AX22" s="2">
        <f>IFERROR(__xludf.DUMMYFUNCTION("""COMPUTED_VALUE"""),2.0)</f>
        <v>2</v>
      </c>
      <c r="AY22" s="2"/>
    </row>
    <row r="23">
      <c r="A23" s="3">
        <f>IFERROR(__xludf.DUMMYFUNCTION("""COMPUTED_VALUE"""),15.0)</f>
        <v>15</v>
      </c>
      <c r="B23" s="3" t="str">
        <f>IFERROR(__xludf.DUMMYFUNCTION("""COMPUTED_VALUE"""),"1000057712")</f>
        <v>1000057712</v>
      </c>
      <c r="C23" s="35" t="str">
        <f>IFERROR(__xludf.DUMMYFUNCTION("""COMPUTED_VALUE"""),"Nusaiba Tanjila")</f>
        <v>Nusaiba Tanjila</v>
      </c>
      <c r="D23" s="36" t="str">
        <f>IFERROR(__xludf.DUMMYFUNCTION("""COMPUTED_VALUE"""),"nusaiba.tanjila@g.bracu.ac.bd")</f>
        <v>nusaiba.tanjila@g.bracu.ac.bd</v>
      </c>
      <c r="E23" s="24" t="b">
        <f>IFERROR(__xludf.DUMMYFUNCTION("""COMPUTED_VALUE"""),TRUE)</f>
        <v>1</v>
      </c>
      <c r="F23" s="3">
        <f>IFERROR(__xludf.DUMMYFUNCTION("""COMPUTED_VALUE"""),0.0)</f>
        <v>0</v>
      </c>
      <c r="G23" s="4" t="str">
        <f>IFERROR(__xludf.DUMMYFUNCTION("""COMPUTED_VALUE"""),"OKAY")</f>
        <v>OKAY</v>
      </c>
      <c r="H23" s="24">
        <f>IFERROR(__xludf.DUMMYFUNCTION("""COMPUTED_VALUE"""),1.0)</f>
        <v>1</v>
      </c>
      <c r="I23" s="3">
        <f>IFERROR(__xludf.DUMMYFUNCTION("""COMPUTED_VALUE"""),1.0)</f>
        <v>1</v>
      </c>
      <c r="J23" s="3">
        <f>IFERROR(__xludf.DUMMYFUNCTION("""COMPUTED_VALUE"""),1.0)</f>
        <v>1</v>
      </c>
      <c r="K23" s="3">
        <f>IFERROR(__xludf.DUMMYFUNCTION("""COMPUTED_VALUE"""),1.0)</f>
        <v>1</v>
      </c>
      <c r="L23" s="3">
        <f>IFERROR(__xludf.DUMMYFUNCTION("""COMPUTED_VALUE"""),1.0)</f>
        <v>1</v>
      </c>
      <c r="M23" s="3">
        <f>IFERROR(__xludf.DUMMYFUNCTION("""COMPUTED_VALUE"""),1.0)</f>
        <v>1</v>
      </c>
      <c r="N23" s="3">
        <f>IFERROR(__xludf.DUMMYFUNCTION("""COMPUTED_VALUE"""),1.0)</f>
        <v>1</v>
      </c>
      <c r="O23" s="4">
        <f>IFERROR(__xludf.DUMMYFUNCTION("""COMPUTED_VALUE"""),1.0)</f>
        <v>1</v>
      </c>
      <c r="P23" s="24"/>
      <c r="Q23" s="3">
        <f>IFERROR(__xludf.DUMMYFUNCTION("""COMPUTED_VALUE"""),4.5)</f>
        <v>4.5</v>
      </c>
      <c r="R23" s="3"/>
      <c r="S23" s="3"/>
      <c r="T23" s="3"/>
      <c r="U23" s="3">
        <f>IFERROR(__xludf.DUMMYFUNCTION("""COMPUTED_VALUE"""),5.0)</f>
        <v>5</v>
      </c>
      <c r="V23" s="3"/>
      <c r="W23" s="4"/>
      <c r="X23" s="24">
        <f>IFERROR(__xludf.DUMMYFUNCTION("""COMPUTED_VALUE"""),5.0)</f>
        <v>5</v>
      </c>
      <c r="Y23" s="3">
        <f>IFERROR(__xludf.DUMMYFUNCTION("""COMPUTED_VALUE"""),4.0)</f>
        <v>4</v>
      </c>
      <c r="Z23" s="3">
        <f>IFERROR(__xludf.DUMMYFUNCTION("""COMPUTED_VALUE"""),5.0)</f>
        <v>5</v>
      </c>
      <c r="AA23" s="3">
        <f>IFERROR(__xludf.DUMMYFUNCTION("""COMPUTED_VALUE"""),5.0)</f>
        <v>5</v>
      </c>
      <c r="AB23" s="3">
        <f>IFERROR(__xludf.DUMMYFUNCTION("""COMPUTED_VALUE"""),2.3)</f>
        <v>2.3</v>
      </c>
      <c r="AC23" s="3">
        <f>IFERROR(__xludf.DUMMYFUNCTION("""COMPUTED_VALUE"""),5.0)</f>
        <v>5</v>
      </c>
      <c r="AD23" s="4">
        <f>IFERROR(__xludf.DUMMYFUNCTION("""COMPUTED_VALUE"""),5.0)</f>
        <v>5</v>
      </c>
      <c r="AE23" s="24">
        <f>IFERROR(__xludf.DUMMYFUNCTION("""COMPUTED_VALUE"""),5.0)</f>
        <v>5</v>
      </c>
      <c r="AF23" s="3">
        <f>IFERROR(__xludf.DUMMYFUNCTION("""COMPUTED_VALUE"""),7.5)</f>
        <v>7.5</v>
      </c>
      <c r="AG23" s="3">
        <f>IFERROR(__xludf.DUMMYFUNCTION("""COMPUTED_VALUE"""),2.5)</f>
        <v>2.5</v>
      </c>
      <c r="AH23" s="4">
        <f>IFERROR(__xludf.DUMMYFUNCTION("""COMPUTED_VALUE"""),6.75)</f>
        <v>6.75</v>
      </c>
      <c r="AI23" s="24">
        <f>IFERROR(__xludf.DUMMYFUNCTION("""COMPUTED_VALUE"""),6.0)</f>
        <v>6</v>
      </c>
      <c r="AJ23" s="37">
        <f>IFERROR(__xludf.DUMMYFUNCTION("""COMPUTED_VALUE"""),0.0)</f>
        <v>0</v>
      </c>
      <c r="AK23" s="3">
        <f>IFERROR(__xludf.DUMMYFUNCTION("""COMPUTED_VALUE"""),13.5)</f>
        <v>13.5</v>
      </c>
      <c r="AL23" s="3">
        <f>IFERROR(__xludf.DUMMYFUNCTION("""COMPUTED_VALUE"""),2.85)</f>
        <v>2.85</v>
      </c>
      <c r="AM23" s="22">
        <f>IFERROR(__xludf.DUMMYFUNCTION("""COMPUTED_VALUE"""),1.815)</f>
        <v>1.815</v>
      </c>
      <c r="AN23" s="2">
        <f>IFERROR(__xludf.DUMMYFUNCTION("""COMPUTED_VALUE"""),18.25)</f>
        <v>18.25</v>
      </c>
      <c r="AO23" s="2"/>
      <c r="AP23" s="2"/>
      <c r="AQ23" s="2"/>
      <c r="AR23" s="2"/>
      <c r="AS23" s="2"/>
      <c r="AT23" s="2"/>
      <c r="AU23" s="2"/>
      <c r="AV23" s="2"/>
      <c r="AW23" s="2"/>
      <c r="AX23" s="2">
        <f>IFERROR(__xludf.DUMMYFUNCTION("""COMPUTED_VALUE"""),2.0)</f>
        <v>2</v>
      </c>
      <c r="AY23" s="2"/>
    </row>
    <row r="24">
      <c r="A24" s="3">
        <f>IFERROR(__xludf.DUMMYFUNCTION("""COMPUTED_VALUE"""),16.0)</f>
        <v>16</v>
      </c>
      <c r="B24" s="3" t="str">
        <f>IFERROR(__xludf.DUMMYFUNCTION("""COMPUTED_VALUE"""),"1000057978")</f>
        <v>1000057978</v>
      </c>
      <c r="C24" s="35" t="str">
        <f>IFERROR(__xludf.DUMMYFUNCTION("""COMPUTED_VALUE"""),"Tahsin Zaman")</f>
        <v>Tahsin Zaman</v>
      </c>
      <c r="D24" s="36" t="str">
        <f>IFERROR(__xludf.DUMMYFUNCTION("""COMPUTED_VALUE"""),"tahsin.zaman@g.bracu.ac.bd")</f>
        <v>tahsin.zaman@g.bracu.ac.bd</v>
      </c>
      <c r="E24" s="24" t="b">
        <f>IFERROR(__xludf.DUMMYFUNCTION("""COMPUTED_VALUE"""),TRUE)</f>
        <v>1</v>
      </c>
      <c r="F24" s="3">
        <f>IFERROR(__xludf.DUMMYFUNCTION("""COMPUTED_VALUE"""),0.0)</f>
        <v>0</v>
      </c>
      <c r="G24" s="4" t="str">
        <f>IFERROR(__xludf.DUMMYFUNCTION("""COMPUTED_VALUE"""),"OKAY")</f>
        <v>OKAY</v>
      </c>
      <c r="H24" s="24">
        <f>IFERROR(__xludf.DUMMYFUNCTION("""COMPUTED_VALUE"""),1.0)</f>
        <v>1</v>
      </c>
      <c r="I24" s="3">
        <f>IFERROR(__xludf.DUMMYFUNCTION("""COMPUTED_VALUE"""),1.0)</f>
        <v>1</v>
      </c>
      <c r="J24" s="3">
        <f>IFERROR(__xludf.DUMMYFUNCTION("""COMPUTED_VALUE"""),1.0)</f>
        <v>1</v>
      </c>
      <c r="K24" s="3">
        <f>IFERROR(__xludf.DUMMYFUNCTION("""COMPUTED_VALUE"""),1.0)</f>
        <v>1</v>
      </c>
      <c r="L24" s="3">
        <f>IFERROR(__xludf.DUMMYFUNCTION("""COMPUTED_VALUE"""),1.0)</f>
        <v>1</v>
      </c>
      <c r="M24" s="3">
        <f>IFERROR(__xludf.DUMMYFUNCTION("""COMPUTED_VALUE"""),1.0)</f>
        <v>1</v>
      </c>
      <c r="N24" s="3">
        <f>IFERROR(__xludf.DUMMYFUNCTION("""COMPUTED_VALUE"""),1.0)</f>
        <v>1</v>
      </c>
      <c r="O24" s="4">
        <f>IFERROR(__xludf.DUMMYFUNCTION("""COMPUTED_VALUE"""),1.0)</f>
        <v>1</v>
      </c>
      <c r="P24" s="24"/>
      <c r="Q24" s="3">
        <f>IFERROR(__xludf.DUMMYFUNCTION("""COMPUTED_VALUE"""),3.75)</f>
        <v>3.75</v>
      </c>
      <c r="R24" s="3"/>
      <c r="S24" s="3"/>
      <c r="T24" s="3"/>
      <c r="U24" s="3">
        <f>IFERROR(__xludf.DUMMYFUNCTION("""COMPUTED_VALUE"""),5.0)</f>
        <v>5</v>
      </c>
      <c r="V24" s="3"/>
      <c r="W24" s="4"/>
      <c r="X24" s="24">
        <f>IFERROR(__xludf.DUMMYFUNCTION("""COMPUTED_VALUE"""),5.0)</f>
        <v>5</v>
      </c>
      <c r="Y24" s="3">
        <f>IFERROR(__xludf.DUMMYFUNCTION("""COMPUTED_VALUE"""),5.0)</f>
        <v>5</v>
      </c>
      <c r="Z24" s="3">
        <f>IFERROR(__xludf.DUMMYFUNCTION("""COMPUTED_VALUE"""),5.0)</f>
        <v>5</v>
      </c>
      <c r="AA24" s="3">
        <f>IFERROR(__xludf.DUMMYFUNCTION("""COMPUTED_VALUE"""),3.8)</f>
        <v>3.8</v>
      </c>
      <c r="AB24" s="3">
        <f>IFERROR(__xludf.DUMMYFUNCTION("""COMPUTED_VALUE"""),4.3)</f>
        <v>4.3</v>
      </c>
      <c r="AC24" s="3">
        <f>IFERROR(__xludf.DUMMYFUNCTION("""COMPUTED_VALUE"""),5.0)</f>
        <v>5</v>
      </c>
      <c r="AD24" s="4">
        <f>IFERROR(__xludf.DUMMYFUNCTION("""COMPUTED_VALUE"""),5.0)</f>
        <v>5</v>
      </c>
      <c r="AE24" s="24">
        <f>IFERROR(__xludf.DUMMYFUNCTION("""COMPUTED_VALUE"""),5.0)</f>
        <v>5</v>
      </c>
      <c r="AF24" s="3">
        <f>IFERROR(__xludf.DUMMYFUNCTION("""COMPUTED_VALUE"""),3.5)</f>
        <v>3.5</v>
      </c>
      <c r="AG24" s="3">
        <f>IFERROR(__xludf.DUMMYFUNCTION("""COMPUTED_VALUE"""),3.75)</f>
        <v>3.75</v>
      </c>
      <c r="AH24" s="4">
        <f>IFERROR(__xludf.DUMMYFUNCTION("""COMPUTED_VALUE"""),3.5)</f>
        <v>3.5</v>
      </c>
      <c r="AI24" s="24">
        <f>IFERROR(__xludf.DUMMYFUNCTION("""COMPUTED_VALUE"""),3.0)</f>
        <v>3</v>
      </c>
      <c r="AJ24" s="37">
        <f>IFERROR(__xludf.DUMMYFUNCTION("""COMPUTED_VALUE"""),0.0)</f>
        <v>0</v>
      </c>
      <c r="AK24" s="3">
        <f>IFERROR(__xludf.DUMMYFUNCTION("""COMPUTED_VALUE"""),7.167)</f>
        <v>7.167</v>
      </c>
      <c r="AL24" s="3">
        <f>IFERROR(__xludf.DUMMYFUNCTION("""COMPUTED_VALUE"""),2.625)</f>
        <v>2.625</v>
      </c>
      <c r="AM24" s="22">
        <f>IFERROR(__xludf.DUMMYFUNCTION("""COMPUTED_VALUE"""),1.905)</f>
        <v>1.905</v>
      </c>
      <c r="AN24" s="2">
        <f>IFERROR(__xludf.DUMMYFUNCTION("""COMPUTED_VALUE"""),11.75)</f>
        <v>11.75</v>
      </c>
      <c r="AO24" s="2"/>
      <c r="AP24" s="2"/>
      <c r="AQ24" s="2"/>
      <c r="AR24" s="2"/>
      <c r="AS24" s="2"/>
      <c r="AT24" s="2"/>
      <c r="AU24" s="2"/>
      <c r="AV24" s="2"/>
      <c r="AW24" s="2"/>
      <c r="AX24" s="2">
        <f>IFERROR(__xludf.DUMMYFUNCTION("""COMPUTED_VALUE"""),2.0)</f>
        <v>2</v>
      </c>
      <c r="AY24" s="2"/>
    </row>
    <row r="25">
      <c r="A25" s="3">
        <f>IFERROR(__xludf.DUMMYFUNCTION("""COMPUTED_VALUE"""),17.0)</f>
        <v>17</v>
      </c>
      <c r="B25" s="3" t="str">
        <f>IFERROR(__xludf.DUMMYFUNCTION("""COMPUTED_VALUE"""),"1000058069")</f>
        <v>1000058069</v>
      </c>
      <c r="C25" s="35" t="str">
        <f>IFERROR(__xludf.DUMMYFUNCTION("""COMPUTED_VALUE"""),"Md Rafsun Bin Hossain")</f>
        <v>Md Rafsun Bin Hossain</v>
      </c>
      <c r="D25" s="36" t="str">
        <f>IFERROR(__xludf.DUMMYFUNCTION("""COMPUTED_VALUE"""),"rafsun.bin.hossain@g.bracu.ac.bd")</f>
        <v>rafsun.bin.hossain@g.bracu.ac.bd</v>
      </c>
      <c r="E25" s="24" t="b">
        <f>IFERROR(__xludf.DUMMYFUNCTION("""COMPUTED_VALUE"""),TRUE)</f>
        <v>1</v>
      </c>
      <c r="F25" s="3">
        <f>IFERROR(__xludf.DUMMYFUNCTION("""COMPUTED_VALUE"""),0.0)</f>
        <v>0</v>
      </c>
      <c r="G25" s="4" t="str">
        <f>IFERROR(__xludf.DUMMYFUNCTION("""COMPUTED_VALUE"""),"OKAY")</f>
        <v>OKAY</v>
      </c>
      <c r="H25" s="24">
        <f>IFERROR(__xludf.DUMMYFUNCTION("""COMPUTED_VALUE"""),1.0)</f>
        <v>1</v>
      </c>
      <c r="I25" s="3">
        <f>IFERROR(__xludf.DUMMYFUNCTION("""COMPUTED_VALUE"""),1.0)</f>
        <v>1</v>
      </c>
      <c r="J25" s="3">
        <f>IFERROR(__xludf.DUMMYFUNCTION("""COMPUTED_VALUE"""),1.0)</f>
        <v>1</v>
      </c>
      <c r="K25" s="3">
        <f>IFERROR(__xludf.DUMMYFUNCTION("""COMPUTED_VALUE"""),1.0)</f>
        <v>1</v>
      </c>
      <c r="L25" s="3">
        <f>IFERROR(__xludf.DUMMYFUNCTION("""COMPUTED_VALUE"""),1.0)</f>
        <v>1</v>
      </c>
      <c r="M25" s="3">
        <f>IFERROR(__xludf.DUMMYFUNCTION("""COMPUTED_VALUE"""),1.0)</f>
        <v>1</v>
      </c>
      <c r="N25" s="3">
        <f>IFERROR(__xludf.DUMMYFUNCTION("""COMPUTED_VALUE"""),1.0)</f>
        <v>1</v>
      </c>
      <c r="O25" s="4">
        <f>IFERROR(__xludf.DUMMYFUNCTION("""COMPUTED_VALUE"""),1.0)</f>
        <v>1</v>
      </c>
      <c r="P25" s="24"/>
      <c r="Q25" s="3">
        <f>IFERROR(__xludf.DUMMYFUNCTION("""COMPUTED_VALUE"""),5.0)</f>
        <v>5</v>
      </c>
      <c r="R25" s="3"/>
      <c r="S25" s="3"/>
      <c r="T25" s="3"/>
      <c r="U25" s="3">
        <f>IFERROR(__xludf.DUMMYFUNCTION("""COMPUTED_VALUE"""),4.0)</f>
        <v>4</v>
      </c>
      <c r="V25" s="3"/>
      <c r="W25" s="4"/>
      <c r="X25" s="24">
        <f>IFERROR(__xludf.DUMMYFUNCTION("""COMPUTED_VALUE"""),5.0)</f>
        <v>5</v>
      </c>
      <c r="Y25" s="3">
        <f>IFERROR(__xludf.DUMMYFUNCTION("""COMPUTED_VALUE"""),4.5)</f>
        <v>4.5</v>
      </c>
      <c r="Z25" s="38">
        <f>IFERROR(__xludf.DUMMYFUNCTION("""COMPUTED_VALUE"""),5.0)</f>
        <v>5</v>
      </c>
      <c r="AA25" s="3">
        <f>IFERROR(__xludf.DUMMYFUNCTION("""COMPUTED_VALUE"""),4.7)</f>
        <v>4.7</v>
      </c>
      <c r="AB25" s="3">
        <f>IFERROR(__xludf.DUMMYFUNCTION("""COMPUTED_VALUE"""),1.4)</f>
        <v>1.4</v>
      </c>
      <c r="AC25" s="3">
        <f>IFERROR(__xludf.DUMMYFUNCTION("""COMPUTED_VALUE"""),5.0)</f>
        <v>5</v>
      </c>
      <c r="AD25" s="4">
        <f>IFERROR(__xludf.DUMMYFUNCTION("""COMPUTED_VALUE"""),5.0)</f>
        <v>5</v>
      </c>
      <c r="AE25" s="24">
        <f>IFERROR(__xludf.DUMMYFUNCTION("""COMPUTED_VALUE"""),1.0)</f>
        <v>1</v>
      </c>
      <c r="AF25" s="3">
        <f>IFERROR(__xludf.DUMMYFUNCTION("""COMPUTED_VALUE"""),6.5)</f>
        <v>6.5</v>
      </c>
      <c r="AG25" s="3">
        <f>IFERROR(__xludf.DUMMYFUNCTION("""COMPUTED_VALUE"""),7.0)</f>
        <v>7</v>
      </c>
      <c r="AH25" s="4">
        <f>IFERROR(__xludf.DUMMYFUNCTION("""COMPUTED_VALUE"""),8.75)</f>
        <v>8.75</v>
      </c>
      <c r="AI25" s="24">
        <f>IFERROR(__xludf.DUMMYFUNCTION("""COMPUTED_VALUE"""),7.0)</f>
        <v>7</v>
      </c>
      <c r="AJ25" s="37">
        <f>IFERROR(__xludf.DUMMYFUNCTION("""COMPUTED_VALUE"""),0.0)</f>
        <v>0</v>
      </c>
      <c r="AK25" s="3">
        <f>IFERROR(__xludf.DUMMYFUNCTION("""COMPUTED_VALUE"""),15.167)</f>
        <v>15.167</v>
      </c>
      <c r="AL25" s="3">
        <f>IFERROR(__xludf.DUMMYFUNCTION("""COMPUTED_VALUE"""),2.7)</f>
        <v>2.7</v>
      </c>
      <c r="AM25" s="22">
        <f>IFERROR(__xludf.DUMMYFUNCTION("""COMPUTED_VALUE"""),1.58)</f>
        <v>1.58</v>
      </c>
      <c r="AN25" s="2">
        <f>IFERROR(__xludf.DUMMYFUNCTION("""COMPUTED_VALUE"""),19.5)</f>
        <v>19.5</v>
      </c>
      <c r="AO25" s="2"/>
      <c r="AP25" s="2"/>
      <c r="AQ25" s="2"/>
      <c r="AR25" s="2"/>
      <c r="AS25" s="2"/>
      <c r="AT25" s="2"/>
      <c r="AU25" s="2"/>
      <c r="AV25" s="2"/>
      <c r="AW25" s="2"/>
      <c r="AX25" s="2">
        <f>IFERROR(__xludf.DUMMYFUNCTION("""COMPUTED_VALUE"""),2.0)</f>
        <v>2</v>
      </c>
      <c r="AY25" s="2"/>
    </row>
    <row r="26">
      <c r="A26" s="3">
        <f>IFERROR(__xludf.DUMMYFUNCTION("""COMPUTED_VALUE"""),18.0)</f>
        <v>18</v>
      </c>
      <c r="B26" s="3" t="str">
        <f>IFERROR(__xludf.DUMMYFUNCTION("""COMPUTED_VALUE"""),"20101276")</f>
        <v>20101276</v>
      </c>
      <c r="C26" s="35" t="str">
        <f>IFERROR(__xludf.DUMMYFUNCTION("""COMPUTED_VALUE"""),"G . M . Muktadir Kenany")</f>
        <v>G . M . Muktadir Kenany</v>
      </c>
      <c r="D26" s="36" t="str">
        <f>IFERROR(__xludf.DUMMYFUNCTION("""COMPUTED_VALUE"""),"gm.muktadir.kenany@g.bracu.ac.bd")</f>
        <v>gm.muktadir.kenany@g.bracu.ac.bd</v>
      </c>
      <c r="E26" s="24" t="b">
        <f>IFERROR(__xludf.DUMMYFUNCTION("""COMPUTED_VALUE"""),TRUE)</f>
        <v>1</v>
      </c>
      <c r="F26" s="3">
        <f>IFERROR(__xludf.DUMMYFUNCTION("""COMPUTED_VALUE"""),1.0)</f>
        <v>1</v>
      </c>
      <c r="G26" s="4" t="str">
        <f>IFERROR(__xludf.DUMMYFUNCTION("""COMPUTED_VALUE"""),"WARNING")</f>
        <v>WARNING</v>
      </c>
      <c r="H26" s="24">
        <f>IFERROR(__xludf.DUMMYFUNCTION("""COMPUTED_VALUE"""),1.0)</f>
        <v>1</v>
      </c>
      <c r="I26" s="3">
        <f>IFERROR(__xludf.DUMMYFUNCTION("""COMPUTED_VALUE"""),1.0)</f>
        <v>1</v>
      </c>
      <c r="J26" s="3">
        <f>IFERROR(__xludf.DUMMYFUNCTION("""COMPUTED_VALUE"""),1.0)</f>
        <v>1</v>
      </c>
      <c r="K26" s="3">
        <f>IFERROR(__xludf.DUMMYFUNCTION("""COMPUTED_VALUE"""),0.0)</f>
        <v>0</v>
      </c>
      <c r="L26" s="3">
        <f>IFERROR(__xludf.DUMMYFUNCTION("""COMPUTED_VALUE"""),1.0)</f>
        <v>1</v>
      </c>
      <c r="M26" s="3">
        <f>IFERROR(__xludf.DUMMYFUNCTION("""COMPUTED_VALUE"""),1.0)</f>
        <v>1</v>
      </c>
      <c r="N26" s="3">
        <f>IFERROR(__xludf.DUMMYFUNCTION("""COMPUTED_VALUE"""),1.0)</f>
        <v>1</v>
      </c>
      <c r="O26" s="4">
        <f>IFERROR(__xludf.DUMMYFUNCTION("""COMPUTED_VALUE"""),1.0)</f>
        <v>1</v>
      </c>
      <c r="P26" s="24"/>
      <c r="Q26" s="3">
        <f>IFERROR(__xludf.DUMMYFUNCTION("""COMPUTED_VALUE"""),4.0)</f>
        <v>4</v>
      </c>
      <c r="R26" s="3"/>
      <c r="S26" s="3"/>
      <c r="T26" s="3"/>
      <c r="U26" s="3">
        <f>IFERROR(__xludf.DUMMYFUNCTION("""COMPUTED_VALUE"""),2.0)</f>
        <v>2</v>
      </c>
      <c r="V26" s="3"/>
      <c r="W26" s="4"/>
      <c r="X26" s="24">
        <f>IFERROR(__xludf.DUMMYFUNCTION("""COMPUTED_VALUE"""),3.0)</f>
        <v>3</v>
      </c>
      <c r="Y26" s="3">
        <f>IFERROR(__xludf.DUMMYFUNCTION("""COMPUTED_VALUE"""),1.0)</f>
        <v>1</v>
      </c>
      <c r="Z26" s="3"/>
      <c r="AA26" s="3">
        <f>IFERROR(__xludf.DUMMYFUNCTION("""COMPUTED_VALUE"""),3.7)</f>
        <v>3.7</v>
      </c>
      <c r="AB26" s="3">
        <f>IFERROR(__xludf.DUMMYFUNCTION("""COMPUTED_VALUE"""),4.0)</f>
        <v>4</v>
      </c>
      <c r="AC26" s="3">
        <f>IFERROR(__xludf.DUMMYFUNCTION("""COMPUTED_VALUE"""),5.0)</f>
        <v>5</v>
      </c>
      <c r="AD26" s="4">
        <f>IFERROR(__xludf.DUMMYFUNCTION("""COMPUTED_VALUE"""),4.0)</f>
        <v>4</v>
      </c>
      <c r="AE26" s="24">
        <f>IFERROR(__xludf.DUMMYFUNCTION("""COMPUTED_VALUE"""),5.0)</f>
        <v>5</v>
      </c>
      <c r="AF26" s="3">
        <f>IFERROR(__xludf.DUMMYFUNCTION("""COMPUTED_VALUE"""),6.0)</f>
        <v>6</v>
      </c>
      <c r="AG26" s="3">
        <f>IFERROR(__xludf.DUMMYFUNCTION("""COMPUTED_VALUE"""),5.0)</f>
        <v>5</v>
      </c>
      <c r="AH26" s="4">
        <f>IFERROR(__xludf.DUMMYFUNCTION("""COMPUTED_VALUE"""),3.75)</f>
        <v>3.75</v>
      </c>
      <c r="AI26" s="24">
        <f>IFERROR(__xludf.DUMMYFUNCTION("""COMPUTED_VALUE"""),1.0)</f>
        <v>1</v>
      </c>
      <c r="AJ26" s="37">
        <f>IFERROR(__xludf.DUMMYFUNCTION("""COMPUTED_VALUE"""),0.0)</f>
        <v>0</v>
      </c>
      <c r="AK26" s="3">
        <f>IFERROR(__xludf.DUMMYFUNCTION("""COMPUTED_VALUE"""),9.834)</f>
        <v>9.834</v>
      </c>
      <c r="AL26" s="3">
        <f>IFERROR(__xludf.DUMMYFUNCTION("""COMPUTED_VALUE"""),1.8)</f>
        <v>1.8</v>
      </c>
      <c r="AM26" s="22">
        <f>IFERROR(__xludf.DUMMYFUNCTION("""COMPUTED_VALUE"""),1.285)</f>
        <v>1.285</v>
      </c>
      <c r="AN26" s="2">
        <f>IFERROR(__xludf.DUMMYFUNCTION("""COMPUTED_VALUE"""),13.0)</f>
        <v>13</v>
      </c>
      <c r="AO26" s="2"/>
      <c r="AP26" s="2"/>
      <c r="AQ26" s="2"/>
      <c r="AR26" s="2"/>
      <c r="AS26" s="2"/>
      <c r="AT26" s="2"/>
      <c r="AU26" s="2"/>
      <c r="AV26" s="2"/>
      <c r="AW26" s="2"/>
      <c r="AX26" s="2">
        <f>IFERROR(__xludf.DUMMYFUNCTION("""COMPUTED_VALUE"""),2.0)</f>
        <v>2</v>
      </c>
      <c r="AY26" s="2"/>
    </row>
    <row r="27">
      <c r="A27" s="3">
        <f>IFERROR(__xludf.DUMMYFUNCTION("""COMPUTED_VALUE"""),19.0)</f>
        <v>19</v>
      </c>
      <c r="B27" s="3" t="str">
        <f>IFERROR(__xludf.DUMMYFUNCTION("""COMPUTED_VALUE"""),"22301330")</f>
        <v>22301330</v>
      </c>
      <c r="C27" s="35" t="str">
        <f>IFERROR(__xludf.DUMMYFUNCTION("""COMPUTED_VALUE"""),"Md. Sanaullah Efti")</f>
        <v>Md. Sanaullah Efti</v>
      </c>
      <c r="D27" s="36" t="str">
        <f>IFERROR(__xludf.DUMMYFUNCTION("""COMPUTED_VALUE"""),"md.sanaullah.efti@g.bracu.ac.bd")</f>
        <v>md.sanaullah.efti@g.bracu.ac.bd</v>
      </c>
      <c r="E27" s="24" t="b">
        <f>IFERROR(__xludf.DUMMYFUNCTION("""COMPUTED_VALUE"""),FALSE)</f>
        <v>0</v>
      </c>
      <c r="F27" s="3">
        <f>IFERROR(__xludf.DUMMYFUNCTION("""COMPUTED_VALUE"""),7.0)</f>
        <v>7</v>
      </c>
      <c r="G27" s="4" t="str">
        <f>IFERROR(__xludf.DUMMYFUNCTION("""COMPUTED_VALUE"""),"BARRED")</f>
        <v>BARRED</v>
      </c>
      <c r="H27" s="24">
        <f>IFERROR(__xludf.DUMMYFUNCTION("""COMPUTED_VALUE"""),0.0)</f>
        <v>0</v>
      </c>
      <c r="I27" s="3">
        <f>IFERROR(__xludf.DUMMYFUNCTION("""COMPUTED_VALUE"""),0.0)</f>
        <v>0</v>
      </c>
      <c r="J27" s="3">
        <f>IFERROR(__xludf.DUMMYFUNCTION("""COMPUTED_VALUE"""),0.0)</f>
        <v>0</v>
      </c>
      <c r="K27" s="3">
        <f>IFERROR(__xludf.DUMMYFUNCTION("""COMPUTED_VALUE"""),0.0)</f>
        <v>0</v>
      </c>
      <c r="L27" s="3">
        <f>IFERROR(__xludf.DUMMYFUNCTION("""COMPUTED_VALUE"""),0.0)</f>
        <v>0</v>
      </c>
      <c r="M27" s="3">
        <f>IFERROR(__xludf.DUMMYFUNCTION("""COMPUTED_VALUE"""),0.0)</f>
        <v>0</v>
      </c>
      <c r="N27" s="3">
        <f>IFERROR(__xludf.DUMMYFUNCTION("""COMPUTED_VALUE"""),0.0)</f>
        <v>0</v>
      </c>
      <c r="O27" s="4">
        <f>IFERROR(__xludf.DUMMYFUNCTION("""COMPUTED_VALUE"""),0.0)</f>
        <v>0</v>
      </c>
      <c r="P27" s="24"/>
      <c r="Q27" s="3">
        <f>IFERROR(__xludf.DUMMYFUNCTION("""COMPUTED_VALUE"""),0.0)</f>
        <v>0</v>
      </c>
      <c r="R27" s="3"/>
      <c r="S27" s="3"/>
      <c r="T27" s="3"/>
      <c r="U27" s="3">
        <f>IFERROR(__xludf.DUMMYFUNCTION("""COMPUTED_VALUE"""),0.0)</f>
        <v>0</v>
      </c>
      <c r="V27" s="3"/>
      <c r="W27" s="4"/>
      <c r="X27" s="24">
        <f>IFERROR(__xludf.DUMMYFUNCTION("""COMPUTED_VALUE"""),0.0)</f>
        <v>0</v>
      </c>
      <c r="Y27" s="3" t="str">
        <f>IFERROR(__xludf.DUMMYFUNCTION("""COMPUTED_VALUE"""),"N")</f>
        <v>N</v>
      </c>
      <c r="Z27" s="3"/>
      <c r="AA27" s="3" t="str">
        <f>IFERROR(__xludf.DUMMYFUNCTION("""COMPUTED_VALUE"""),"N")</f>
        <v>N</v>
      </c>
      <c r="AB27" s="3" t="str">
        <f>IFERROR(__xludf.DUMMYFUNCTION("""COMPUTED_VALUE"""),"N")</f>
        <v>N</v>
      </c>
      <c r="AC27" s="3"/>
      <c r="AD27" s="4" t="str">
        <f>IFERROR(__xludf.DUMMYFUNCTION("""COMPUTED_VALUE"""),"N")</f>
        <v>N</v>
      </c>
      <c r="AE27" s="24"/>
      <c r="AF27" s="3"/>
      <c r="AG27" s="3"/>
      <c r="AH27" s="4"/>
      <c r="AI27" s="24"/>
      <c r="AJ27" s="37">
        <f>IFERROR(__xludf.DUMMYFUNCTION("""COMPUTED_VALUE"""),0.0)</f>
        <v>0</v>
      </c>
      <c r="AK27" s="3">
        <f>IFERROR(__xludf.DUMMYFUNCTION("""COMPUTED_VALUE"""),0.0)</f>
        <v>0</v>
      </c>
      <c r="AL27" s="3">
        <f>IFERROR(__xludf.DUMMYFUNCTION("""COMPUTED_VALUE"""),0.0)</f>
        <v>0</v>
      </c>
      <c r="AM27" s="22">
        <f>IFERROR(__xludf.DUMMYFUNCTION("""COMPUTED_VALUE"""),0.0)</f>
        <v>0</v>
      </c>
      <c r="AN27" s="2">
        <f>IFERROR(__xludf.DUMMYFUNCTION("""COMPUTED_VALUE"""),0.0)</f>
        <v>0</v>
      </c>
      <c r="AO27" s="2"/>
      <c r="AP27" s="2"/>
      <c r="AQ27" s="2"/>
      <c r="AR27" s="2"/>
      <c r="AS27" s="2"/>
      <c r="AT27" s="2"/>
      <c r="AU27" s="2"/>
      <c r="AV27" s="2"/>
      <c r="AW27" s="2"/>
      <c r="AX27" s="2">
        <f>IFERROR(__xludf.DUMMYFUNCTION("""COMPUTED_VALUE"""),2.0)</f>
        <v>2</v>
      </c>
      <c r="AY27" s="2"/>
    </row>
    <row r="28">
      <c r="A28" s="3">
        <f>IFERROR(__xludf.DUMMYFUNCTION("""COMPUTED_VALUE"""),20.0)</f>
        <v>20</v>
      </c>
      <c r="B28" s="3" t="str">
        <f>IFERROR(__xludf.DUMMYFUNCTION("""COMPUTED_VALUE"""),"22301580")</f>
        <v>22301580</v>
      </c>
      <c r="C28" s="35" t="str">
        <f>IFERROR(__xludf.DUMMYFUNCTION("""COMPUTED_VALUE"""),"Md. A. Muqsit Islam")</f>
        <v>Md. A. Muqsit Islam</v>
      </c>
      <c r="D28" s="36" t="str">
        <f>IFERROR(__xludf.DUMMYFUNCTION("""COMPUTED_VALUE"""),"md.amuqsit.islam@g.bracu.ac.bd")</f>
        <v>md.amuqsit.islam@g.bracu.ac.bd</v>
      </c>
      <c r="E28" s="24" t="b">
        <f>IFERROR(__xludf.DUMMYFUNCTION("""COMPUTED_VALUE"""),FALSE)</f>
        <v>0</v>
      </c>
      <c r="F28" s="3">
        <f>IFERROR(__xludf.DUMMYFUNCTION("""COMPUTED_VALUE"""),7.0)</f>
        <v>7</v>
      </c>
      <c r="G28" s="4" t="str">
        <f>IFERROR(__xludf.DUMMYFUNCTION("""COMPUTED_VALUE"""),"BARRED")</f>
        <v>BARRED</v>
      </c>
      <c r="H28" s="24">
        <f>IFERROR(__xludf.DUMMYFUNCTION("""COMPUTED_VALUE"""),0.0)</f>
        <v>0</v>
      </c>
      <c r="I28" s="3">
        <f>IFERROR(__xludf.DUMMYFUNCTION("""COMPUTED_VALUE"""),0.0)</f>
        <v>0</v>
      </c>
      <c r="J28" s="3">
        <f>IFERROR(__xludf.DUMMYFUNCTION("""COMPUTED_VALUE"""),0.0)</f>
        <v>0</v>
      </c>
      <c r="K28" s="3">
        <f>IFERROR(__xludf.DUMMYFUNCTION("""COMPUTED_VALUE"""),0.0)</f>
        <v>0</v>
      </c>
      <c r="L28" s="3">
        <f>IFERROR(__xludf.DUMMYFUNCTION("""COMPUTED_VALUE"""),0.0)</f>
        <v>0</v>
      </c>
      <c r="M28" s="3">
        <f>IFERROR(__xludf.DUMMYFUNCTION("""COMPUTED_VALUE"""),0.0)</f>
        <v>0</v>
      </c>
      <c r="N28" s="3">
        <f>IFERROR(__xludf.DUMMYFUNCTION("""COMPUTED_VALUE"""),0.0)</f>
        <v>0</v>
      </c>
      <c r="O28" s="4">
        <f>IFERROR(__xludf.DUMMYFUNCTION("""COMPUTED_VALUE"""),0.0)</f>
        <v>0</v>
      </c>
      <c r="P28" s="24"/>
      <c r="Q28" s="3">
        <f>IFERROR(__xludf.DUMMYFUNCTION("""COMPUTED_VALUE"""),0.0)</f>
        <v>0</v>
      </c>
      <c r="R28" s="3"/>
      <c r="S28" s="3"/>
      <c r="T28" s="3"/>
      <c r="U28" s="3">
        <f>IFERROR(__xludf.DUMMYFUNCTION("""COMPUTED_VALUE"""),0.0)</f>
        <v>0</v>
      </c>
      <c r="V28" s="3"/>
      <c r="W28" s="4"/>
      <c r="X28" s="24">
        <f>IFERROR(__xludf.DUMMYFUNCTION("""COMPUTED_VALUE"""),0.0)</f>
        <v>0</v>
      </c>
      <c r="Y28" s="3" t="str">
        <f>IFERROR(__xludf.DUMMYFUNCTION("""COMPUTED_VALUE"""),"N")</f>
        <v>N</v>
      </c>
      <c r="Z28" s="3"/>
      <c r="AA28" s="3" t="str">
        <f>IFERROR(__xludf.DUMMYFUNCTION("""COMPUTED_VALUE"""),"N")</f>
        <v>N</v>
      </c>
      <c r="AB28" s="3" t="str">
        <f>IFERROR(__xludf.DUMMYFUNCTION("""COMPUTED_VALUE"""),"N")</f>
        <v>N</v>
      </c>
      <c r="AC28" s="3"/>
      <c r="AD28" s="4" t="str">
        <f>IFERROR(__xludf.DUMMYFUNCTION("""COMPUTED_VALUE"""),"N")</f>
        <v>N</v>
      </c>
      <c r="AE28" s="24"/>
      <c r="AF28" s="3"/>
      <c r="AG28" s="3"/>
      <c r="AH28" s="4"/>
      <c r="AI28" s="24"/>
      <c r="AJ28" s="37">
        <f>IFERROR(__xludf.DUMMYFUNCTION("""COMPUTED_VALUE"""),0.0)</f>
        <v>0</v>
      </c>
      <c r="AK28" s="3">
        <f>IFERROR(__xludf.DUMMYFUNCTION("""COMPUTED_VALUE"""),0.0)</f>
        <v>0</v>
      </c>
      <c r="AL28" s="3">
        <f>IFERROR(__xludf.DUMMYFUNCTION("""COMPUTED_VALUE"""),0.0)</f>
        <v>0</v>
      </c>
      <c r="AM28" s="22">
        <f>IFERROR(__xludf.DUMMYFUNCTION("""COMPUTED_VALUE"""),0.0)</f>
        <v>0</v>
      </c>
      <c r="AN28" s="2">
        <f>IFERROR(__xludf.DUMMYFUNCTION("""COMPUTED_VALUE"""),0.0)</f>
        <v>0</v>
      </c>
      <c r="AO28" s="2"/>
      <c r="AP28" s="2"/>
      <c r="AQ28" s="2"/>
      <c r="AR28" s="2"/>
      <c r="AS28" s="2"/>
      <c r="AT28" s="2"/>
      <c r="AU28" s="2"/>
      <c r="AV28" s="2"/>
      <c r="AW28" s="2"/>
      <c r="AX28" s="2">
        <f>IFERROR(__xludf.DUMMYFUNCTION("""COMPUTED_VALUE"""),2.0)</f>
        <v>2</v>
      </c>
      <c r="AY28" s="2"/>
    </row>
    <row r="29">
      <c r="A29" s="3">
        <f>IFERROR(__xludf.DUMMYFUNCTION("""COMPUTED_VALUE"""),21.0)</f>
        <v>21</v>
      </c>
      <c r="B29" s="3" t="str">
        <f>IFERROR(__xludf.DUMMYFUNCTION("""COMPUTED_VALUE"""),"23101471")</f>
        <v>23101471</v>
      </c>
      <c r="C29" s="35" t="str">
        <f>IFERROR(__xludf.DUMMYFUNCTION("""COMPUTED_VALUE"""),"Farhana Reza Mouly")</f>
        <v>Farhana Reza Mouly</v>
      </c>
      <c r="D29" s="36" t="str">
        <f>IFERROR(__xludf.DUMMYFUNCTION("""COMPUTED_VALUE"""),"farhana.reza.mouly@g.bracu.ac.bd")</f>
        <v>farhana.reza.mouly@g.bracu.ac.bd</v>
      </c>
      <c r="E29" s="24" t="b">
        <f>IFERROR(__xludf.DUMMYFUNCTION("""COMPUTED_VALUE"""),TRUE)</f>
        <v>1</v>
      </c>
      <c r="F29" s="3">
        <f>IFERROR(__xludf.DUMMYFUNCTION("""COMPUTED_VALUE"""),1.0)</f>
        <v>1</v>
      </c>
      <c r="G29" s="4" t="str">
        <f>IFERROR(__xludf.DUMMYFUNCTION("""COMPUTED_VALUE"""),"WARNING")</f>
        <v>WARNING</v>
      </c>
      <c r="H29" s="24">
        <f>IFERROR(__xludf.DUMMYFUNCTION("""COMPUTED_VALUE"""),1.0)</f>
        <v>1</v>
      </c>
      <c r="I29" s="3">
        <f>IFERROR(__xludf.DUMMYFUNCTION("""COMPUTED_VALUE"""),1.0)</f>
        <v>1</v>
      </c>
      <c r="J29" s="3">
        <f>IFERROR(__xludf.DUMMYFUNCTION("""COMPUTED_VALUE"""),1.0)</f>
        <v>1</v>
      </c>
      <c r="K29" s="3">
        <f>IFERROR(__xludf.DUMMYFUNCTION("""COMPUTED_VALUE"""),1.0)</f>
        <v>1</v>
      </c>
      <c r="L29" s="3">
        <f>IFERROR(__xludf.DUMMYFUNCTION("""COMPUTED_VALUE"""),1.0)</f>
        <v>1</v>
      </c>
      <c r="M29" s="3">
        <f>IFERROR(__xludf.DUMMYFUNCTION("""COMPUTED_VALUE"""),0.0)</f>
        <v>0</v>
      </c>
      <c r="N29" s="3">
        <f>IFERROR(__xludf.DUMMYFUNCTION("""COMPUTED_VALUE"""),1.0)</f>
        <v>1</v>
      </c>
      <c r="O29" s="4" t="str">
        <f>IFERROR(__xludf.DUMMYFUNCTION("""COMPUTED_VALUE"""),"S")</f>
        <v>S</v>
      </c>
      <c r="P29" s="24"/>
      <c r="Q29" s="3">
        <f>IFERROR(__xludf.DUMMYFUNCTION("""COMPUTED_VALUE"""),1.0)</f>
        <v>1</v>
      </c>
      <c r="R29" s="3"/>
      <c r="S29" s="3"/>
      <c r="T29" s="3"/>
      <c r="U29" s="3">
        <f>IFERROR(__xludf.DUMMYFUNCTION("""COMPUTED_VALUE"""),0.0)</f>
        <v>0</v>
      </c>
      <c r="V29" s="3"/>
      <c r="W29" s="4"/>
      <c r="X29" s="24">
        <f>IFERROR(__xludf.DUMMYFUNCTION("""COMPUTED_VALUE"""),0.0)</f>
        <v>0</v>
      </c>
      <c r="Y29" s="3" t="str">
        <f>IFERROR(__xludf.DUMMYFUNCTION("""COMPUTED_VALUE"""),"N")</f>
        <v>N</v>
      </c>
      <c r="Z29" s="3"/>
      <c r="AA29" s="3" t="str">
        <f>IFERROR(__xludf.DUMMYFUNCTION("""COMPUTED_VALUE"""),"N")</f>
        <v>N</v>
      </c>
      <c r="AB29" s="3" t="str">
        <f>IFERROR(__xludf.DUMMYFUNCTION("""COMPUTED_VALUE"""),"N")</f>
        <v>N</v>
      </c>
      <c r="AC29" s="3"/>
      <c r="AD29" s="4" t="str">
        <f>IFERROR(__xludf.DUMMYFUNCTION("""COMPUTED_VALUE"""),"N")</f>
        <v>N</v>
      </c>
      <c r="AE29" s="24"/>
      <c r="AF29" s="3">
        <f>IFERROR(__xludf.DUMMYFUNCTION("""COMPUTED_VALUE"""),1.5)</f>
        <v>1.5</v>
      </c>
      <c r="AG29" s="3">
        <f>IFERROR(__xludf.DUMMYFUNCTION("""COMPUTED_VALUE"""),2.0)</f>
        <v>2</v>
      </c>
      <c r="AH29" s="4">
        <f>IFERROR(__xludf.DUMMYFUNCTION("""COMPUTED_VALUE"""),1.0)</f>
        <v>1</v>
      </c>
      <c r="AI29" s="24"/>
      <c r="AJ29" s="37">
        <f>IFERROR(__xludf.DUMMYFUNCTION("""COMPUTED_VALUE"""),0.0)</f>
        <v>0</v>
      </c>
      <c r="AK29" s="3">
        <f>IFERROR(__xludf.DUMMYFUNCTION("""COMPUTED_VALUE"""),3.0)</f>
        <v>3</v>
      </c>
      <c r="AL29" s="3">
        <f>IFERROR(__xludf.DUMMYFUNCTION("""COMPUTED_VALUE"""),0.3)</f>
        <v>0.3</v>
      </c>
      <c r="AM29" s="22">
        <f>IFERROR(__xludf.DUMMYFUNCTION("""COMPUTED_VALUE"""),0.0)</f>
        <v>0</v>
      </c>
      <c r="AN29" s="2">
        <f>IFERROR(__xludf.DUMMYFUNCTION("""COMPUTED_VALUE"""),3.5)</f>
        <v>3.5</v>
      </c>
      <c r="AO29" s="2"/>
      <c r="AP29" s="2"/>
      <c r="AQ29" s="2"/>
      <c r="AR29" s="2"/>
      <c r="AS29" s="2"/>
      <c r="AT29" s="2"/>
      <c r="AU29" s="2"/>
      <c r="AV29" s="2"/>
      <c r="AW29" s="2"/>
      <c r="AX29" s="2">
        <f>IFERROR(__xludf.DUMMYFUNCTION("""COMPUTED_VALUE"""),2.0)</f>
        <v>2</v>
      </c>
      <c r="AY29" s="2"/>
    </row>
    <row r="30">
      <c r="A30" s="3">
        <f>IFERROR(__xludf.DUMMYFUNCTION("""COMPUTED_VALUE"""),22.0)</f>
        <v>22</v>
      </c>
      <c r="B30" s="3" t="str">
        <f>IFERROR(__xludf.DUMMYFUNCTION("""COMPUTED_VALUE"""),"23201479")</f>
        <v>23201479</v>
      </c>
      <c r="C30" s="35" t="str">
        <f>IFERROR(__xludf.DUMMYFUNCTION("""COMPUTED_VALUE"""),"Krishanu Paul Kolpo")</f>
        <v>Krishanu Paul Kolpo</v>
      </c>
      <c r="D30" s="36" t="str">
        <f>IFERROR(__xludf.DUMMYFUNCTION("""COMPUTED_VALUE"""),"krishanu.paul.kolpo@g.bracu.ac.bd")</f>
        <v>krishanu.paul.kolpo@g.bracu.ac.bd</v>
      </c>
      <c r="E30" s="24" t="b">
        <f>IFERROR(__xludf.DUMMYFUNCTION("""COMPUTED_VALUE"""),TRUE)</f>
        <v>1</v>
      </c>
      <c r="F30" s="3">
        <f>IFERROR(__xludf.DUMMYFUNCTION("""COMPUTED_VALUE"""),1.0)</f>
        <v>1</v>
      </c>
      <c r="G30" s="4" t="str">
        <f>IFERROR(__xludf.DUMMYFUNCTION("""COMPUTED_VALUE"""),"WARNING")</f>
        <v>WARNING</v>
      </c>
      <c r="H30" s="24">
        <f>IFERROR(__xludf.DUMMYFUNCTION("""COMPUTED_VALUE"""),1.0)</f>
        <v>1</v>
      </c>
      <c r="I30" s="3">
        <f>IFERROR(__xludf.DUMMYFUNCTION("""COMPUTED_VALUE"""),1.0)</f>
        <v>1</v>
      </c>
      <c r="J30" s="3">
        <f>IFERROR(__xludf.DUMMYFUNCTION("""COMPUTED_VALUE"""),1.0)</f>
        <v>1</v>
      </c>
      <c r="K30" s="3">
        <f>IFERROR(__xludf.DUMMYFUNCTION("""COMPUTED_VALUE"""),1.0)</f>
        <v>1</v>
      </c>
      <c r="L30" s="3">
        <f>IFERROR(__xludf.DUMMYFUNCTION("""COMPUTED_VALUE"""),0.0)</f>
        <v>0</v>
      </c>
      <c r="M30" s="3">
        <f>IFERROR(__xludf.DUMMYFUNCTION("""COMPUTED_VALUE"""),1.0)</f>
        <v>1</v>
      </c>
      <c r="N30" s="3">
        <f>IFERROR(__xludf.DUMMYFUNCTION("""COMPUTED_VALUE"""),1.0)</f>
        <v>1</v>
      </c>
      <c r="O30" s="4">
        <f>IFERROR(__xludf.DUMMYFUNCTION("""COMPUTED_VALUE"""),1.0)</f>
        <v>1</v>
      </c>
      <c r="P30" s="24"/>
      <c r="Q30" s="3">
        <f>IFERROR(__xludf.DUMMYFUNCTION("""COMPUTED_VALUE"""),5.0)</f>
        <v>5</v>
      </c>
      <c r="R30" s="3"/>
      <c r="S30" s="3"/>
      <c r="T30" s="3"/>
      <c r="U30" s="3">
        <f>IFERROR(__xludf.DUMMYFUNCTION("""COMPUTED_VALUE"""),5.0)</f>
        <v>5</v>
      </c>
      <c r="V30" s="3"/>
      <c r="W30" s="4"/>
      <c r="X30" s="24">
        <f>IFERROR(__xludf.DUMMYFUNCTION("""COMPUTED_VALUE"""),0.0)</f>
        <v>0</v>
      </c>
      <c r="Y30" s="3" t="str">
        <f>IFERROR(__xludf.DUMMYFUNCTION("""COMPUTED_VALUE"""),"N")</f>
        <v>N</v>
      </c>
      <c r="Z30" s="3">
        <f>IFERROR(__xludf.DUMMYFUNCTION("""COMPUTED_VALUE"""),5.0)</f>
        <v>5</v>
      </c>
      <c r="AA30" s="3" t="str">
        <f>IFERROR(__xludf.DUMMYFUNCTION("""COMPUTED_VALUE"""),"N")</f>
        <v>N</v>
      </c>
      <c r="AB30" s="3">
        <f>IFERROR(__xludf.DUMMYFUNCTION("""COMPUTED_VALUE"""),3.3)</f>
        <v>3.3</v>
      </c>
      <c r="AC30" s="3"/>
      <c r="AD30" s="4" t="str">
        <f>IFERROR(__xludf.DUMMYFUNCTION("""COMPUTED_VALUE"""),"N")</f>
        <v>N</v>
      </c>
      <c r="AE30" s="24"/>
      <c r="AF30" s="3">
        <f>IFERROR(__xludf.DUMMYFUNCTION("""COMPUTED_VALUE"""),8.5)</f>
        <v>8.5</v>
      </c>
      <c r="AG30" s="3">
        <f>IFERROR(__xludf.DUMMYFUNCTION("""COMPUTED_VALUE"""),4.0)</f>
        <v>4</v>
      </c>
      <c r="AH30" s="4">
        <f>IFERROR(__xludf.DUMMYFUNCTION("""COMPUTED_VALUE"""),8.25)</f>
        <v>8.25</v>
      </c>
      <c r="AI30" s="24">
        <f>IFERROR(__xludf.DUMMYFUNCTION("""COMPUTED_VALUE"""),4.0)</f>
        <v>4</v>
      </c>
      <c r="AJ30" s="37">
        <f>IFERROR(__xludf.DUMMYFUNCTION("""COMPUTED_VALUE"""),0.0)</f>
        <v>0</v>
      </c>
      <c r="AK30" s="3">
        <f>IFERROR(__xludf.DUMMYFUNCTION("""COMPUTED_VALUE"""),13.834)</f>
        <v>13.834</v>
      </c>
      <c r="AL30" s="3">
        <f>IFERROR(__xludf.DUMMYFUNCTION("""COMPUTED_VALUE"""),3.0)</f>
        <v>3</v>
      </c>
      <c r="AM30" s="22">
        <f>IFERROR(__xludf.DUMMYFUNCTION("""COMPUTED_VALUE"""),0.415)</f>
        <v>0.415</v>
      </c>
      <c r="AN30" s="2">
        <f>IFERROR(__xludf.DUMMYFUNCTION("""COMPUTED_VALUE"""),17.25)</f>
        <v>17.25</v>
      </c>
      <c r="AO30" s="2"/>
      <c r="AP30" s="2"/>
      <c r="AQ30" s="2"/>
      <c r="AR30" s="2"/>
      <c r="AS30" s="2"/>
      <c r="AT30" s="2"/>
      <c r="AU30" s="2"/>
      <c r="AV30" s="2"/>
      <c r="AW30" s="2"/>
      <c r="AX30" s="2">
        <f>IFERROR(__xludf.DUMMYFUNCTION("""COMPUTED_VALUE"""),2.0)</f>
        <v>2</v>
      </c>
      <c r="AY30" s="2"/>
    </row>
    <row r="31">
      <c r="A31" s="3">
        <f>IFERROR(__xludf.DUMMYFUNCTION("""COMPUTED_VALUE"""),23.0)</f>
        <v>23</v>
      </c>
      <c r="B31" s="3" t="str">
        <f>IFERROR(__xludf.DUMMYFUNCTION("""COMPUTED_VALUE"""),"23201496")</f>
        <v>23201496</v>
      </c>
      <c r="C31" s="35" t="str">
        <f>IFERROR(__xludf.DUMMYFUNCTION("""COMPUTED_VALUE"""),"Md.Samiul Haque")</f>
        <v>Md.Samiul Haque</v>
      </c>
      <c r="D31" s="36" t="str">
        <f>IFERROR(__xludf.DUMMYFUNCTION("""COMPUTED_VALUE"""),"md.samiul.haque2@g.bracu.ac.bd")</f>
        <v>md.samiul.haque2@g.bracu.ac.bd</v>
      </c>
      <c r="E31" s="24" t="b">
        <f>IFERROR(__xludf.DUMMYFUNCTION("""COMPUTED_VALUE"""),TRUE)</f>
        <v>1</v>
      </c>
      <c r="F31" s="3">
        <f>IFERROR(__xludf.DUMMYFUNCTION("""COMPUTED_VALUE"""),1.0)</f>
        <v>1</v>
      </c>
      <c r="G31" s="4" t="str">
        <f>IFERROR(__xludf.DUMMYFUNCTION("""COMPUTED_VALUE"""),"WARNING")</f>
        <v>WARNING</v>
      </c>
      <c r="H31" s="24">
        <f>IFERROR(__xludf.DUMMYFUNCTION("""COMPUTED_VALUE"""),0.0)</f>
        <v>0</v>
      </c>
      <c r="I31" s="3">
        <f>IFERROR(__xludf.DUMMYFUNCTION("""COMPUTED_VALUE"""),1.0)</f>
        <v>1</v>
      </c>
      <c r="J31" s="3">
        <f>IFERROR(__xludf.DUMMYFUNCTION("""COMPUTED_VALUE"""),1.0)</f>
        <v>1</v>
      </c>
      <c r="K31" s="3" t="str">
        <f>IFERROR(__xludf.DUMMYFUNCTION("""COMPUTED_VALUE"""),"S")</f>
        <v>S</v>
      </c>
      <c r="L31" s="3">
        <f>IFERROR(__xludf.DUMMYFUNCTION("""COMPUTED_VALUE"""),1.0)</f>
        <v>1</v>
      </c>
      <c r="M31" s="3">
        <f>IFERROR(__xludf.DUMMYFUNCTION("""COMPUTED_VALUE"""),0.0)</f>
        <v>0</v>
      </c>
      <c r="N31" s="3">
        <f>IFERROR(__xludf.DUMMYFUNCTION("""COMPUTED_VALUE"""),1.0)</f>
        <v>1</v>
      </c>
      <c r="O31" s="4">
        <f>IFERROR(__xludf.DUMMYFUNCTION("""COMPUTED_VALUE"""),1.0)</f>
        <v>1</v>
      </c>
      <c r="P31" s="24"/>
      <c r="Q31" s="3">
        <f>IFERROR(__xludf.DUMMYFUNCTION("""COMPUTED_VALUE"""),4.0)</f>
        <v>4</v>
      </c>
      <c r="R31" s="3"/>
      <c r="S31" s="3"/>
      <c r="T31" s="3"/>
      <c r="U31" s="3">
        <f>IFERROR(__xludf.DUMMYFUNCTION("""COMPUTED_VALUE"""),0.0)</f>
        <v>0</v>
      </c>
      <c r="V31" s="3"/>
      <c r="W31" s="4"/>
      <c r="X31" s="24">
        <f>IFERROR(__xludf.DUMMYFUNCTION("""COMPUTED_VALUE"""),1.0)</f>
        <v>1</v>
      </c>
      <c r="Y31" s="3" t="str">
        <f>IFERROR(__xludf.DUMMYFUNCTION("""COMPUTED_VALUE"""),"N")</f>
        <v>N</v>
      </c>
      <c r="Z31" s="3"/>
      <c r="AA31" s="3" t="str">
        <f>IFERROR(__xludf.DUMMYFUNCTION("""COMPUTED_VALUE"""),"N")</f>
        <v>N</v>
      </c>
      <c r="AB31" s="3" t="str">
        <f>IFERROR(__xludf.DUMMYFUNCTION("""COMPUTED_VALUE"""),"N")</f>
        <v>N</v>
      </c>
      <c r="AC31" s="3"/>
      <c r="AD31" s="4" t="str">
        <f>IFERROR(__xludf.DUMMYFUNCTION("""COMPUTED_VALUE"""),"N")</f>
        <v>N</v>
      </c>
      <c r="AE31" s="24"/>
      <c r="AF31" s="3">
        <f>IFERROR(__xludf.DUMMYFUNCTION("""COMPUTED_VALUE"""),4.5)</f>
        <v>4.5</v>
      </c>
      <c r="AG31" s="3"/>
      <c r="AH31" s="4">
        <f>IFERROR(__xludf.DUMMYFUNCTION("""COMPUTED_VALUE"""),0.0)</f>
        <v>0</v>
      </c>
      <c r="AI31" s="24">
        <f>IFERROR(__xludf.DUMMYFUNCTION("""COMPUTED_VALUE"""),3.0)</f>
        <v>3</v>
      </c>
      <c r="AJ31" s="37">
        <f>IFERROR(__xludf.DUMMYFUNCTION("""COMPUTED_VALUE"""),0.0)</f>
        <v>0</v>
      </c>
      <c r="AK31" s="3">
        <f>IFERROR(__xludf.DUMMYFUNCTION("""COMPUTED_VALUE"""),5.0)</f>
        <v>5</v>
      </c>
      <c r="AL31" s="3">
        <f>IFERROR(__xludf.DUMMYFUNCTION("""COMPUTED_VALUE"""),1.2)</f>
        <v>1.2</v>
      </c>
      <c r="AM31" s="22">
        <f>IFERROR(__xludf.DUMMYFUNCTION("""COMPUTED_VALUE"""),0.05)</f>
        <v>0.05</v>
      </c>
      <c r="AN31" s="2">
        <f>IFERROR(__xludf.DUMMYFUNCTION("""COMPUTED_VALUE"""),6.25)</f>
        <v>6.25</v>
      </c>
      <c r="AO31" s="2"/>
      <c r="AP31" s="2"/>
      <c r="AQ31" s="2"/>
      <c r="AR31" s="2"/>
      <c r="AS31" s="2"/>
      <c r="AT31" s="2"/>
      <c r="AU31" s="2"/>
      <c r="AV31" s="2"/>
      <c r="AW31" s="2"/>
      <c r="AX31" s="2">
        <f>IFERROR(__xludf.DUMMYFUNCTION("""COMPUTED_VALUE"""),2.0)</f>
        <v>2</v>
      </c>
      <c r="AY31" s="2"/>
    </row>
    <row r="32">
      <c r="A32" s="3">
        <f>IFERROR(__xludf.DUMMYFUNCTION("""COMPUTED_VALUE"""),24.0)</f>
        <v>24</v>
      </c>
      <c r="B32" s="3" t="str">
        <f>IFERROR(__xludf.DUMMYFUNCTION("""COMPUTED_VALUE"""),"23201514")</f>
        <v>23201514</v>
      </c>
      <c r="C32" s="35" t="str">
        <f>IFERROR(__xludf.DUMMYFUNCTION("""COMPUTED_VALUE"""),"Sadia Zannat Inna")</f>
        <v>Sadia Zannat Inna</v>
      </c>
      <c r="D32" s="36" t="str">
        <f>IFERROR(__xludf.DUMMYFUNCTION("""COMPUTED_VALUE"""),"sadia.zannat.inna@g.bracu.ac.bd")</f>
        <v>sadia.zannat.inna@g.bracu.ac.bd</v>
      </c>
      <c r="E32" s="24" t="b">
        <f>IFERROR(__xludf.DUMMYFUNCTION("""COMPUTED_VALUE"""),TRUE)</f>
        <v>1</v>
      </c>
      <c r="F32" s="3">
        <f>IFERROR(__xludf.DUMMYFUNCTION("""COMPUTED_VALUE"""),1.0)</f>
        <v>1</v>
      </c>
      <c r="G32" s="4" t="str">
        <f>IFERROR(__xludf.DUMMYFUNCTION("""COMPUTED_VALUE"""),"WARNING")</f>
        <v>WARNING</v>
      </c>
      <c r="H32" s="24">
        <f>IFERROR(__xludf.DUMMYFUNCTION("""COMPUTED_VALUE"""),1.0)</f>
        <v>1</v>
      </c>
      <c r="I32" s="3">
        <f>IFERROR(__xludf.DUMMYFUNCTION("""COMPUTED_VALUE"""),1.0)</f>
        <v>1</v>
      </c>
      <c r="J32" s="3">
        <f>IFERROR(__xludf.DUMMYFUNCTION("""COMPUTED_VALUE"""),1.0)</f>
        <v>1</v>
      </c>
      <c r="K32" s="3">
        <f>IFERROR(__xludf.DUMMYFUNCTION("""COMPUTED_VALUE"""),0.0)</f>
        <v>0</v>
      </c>
      <c r="L32" s="3">
        <f>IFERROR(__xludf.DUMMYFUNCTION("""COMPUTED_VALUE"""),1.0)</f>
        <v>1</v>
      </c>
      <c r="M32" s="3">
        <f>IFERROR(__xludf.DUMMYFUNCTION("""COMPUTED_VALUE"""),1.0)</f>
        <v>1</v>
      </c>
      <c r="N32" s="3">
        <f>IFERROR(__xludf.DUMMYFUNCTION("""COMPUTED_VALUE"""),1.0)</f>
        <v>1</v>
      </c>
      <c r="O32" s="4">
        <f>IFERROR(__xludf.DUMMYFUNCTION("""COMPUTED_VALUE"""),1.0)</f>
        <v>1</v>
      </c>
      <c r="P32" s="24"/>
      <c r="Q32" s="3">
        <f>IFERROR(__xludf.DUMMYFUNCTION("""COMPUTED_VALUE"""),4.0)</f>
        <v>4</v>
      </c>
      <c r="R32" s="3"/>
      <c r="S32" s="3"/>
      <c r="T32" s="3"/>
      <c r="U32" s="3">
        <f>IFERROR(__xludf.DUMMYFUNCTION("""COMPUTED_VALUE"""),2.5)</f>
        <v>2.5</v>
      </c>
      <c r="V32" s="3"/>
      <c r="W32" s="4"/>
      <c r="X32" s="24">
        <f>IFERROR(__xludf.DUMMYFUNCTION("""COMPUTED_VALUE"""),0.0)</f>
        <v>0</v>
      </c>
      <c r="Y32" s="3" t="str">
        <f>IFERROR(__xludf.DUMMYFUNCTION("""COMPUTED_VALUE"""),"N")</f>
        <v>N</v>
      </c>
      <c r="Z32" s="3"/>
      <c r="AA32" s="3" t="str">
        <f>IFERROR(__xludf.DUMMYFUNCTION("""COMPUTED_VALUE"""),"N")</f>
        <v>N</v>
      </c>
      <c r="AB32" s="3" t="str">
        <f>IFERROR(__xludf.DUMMYFUNCTION("""COMPUTED_VALUE"""),"N")</f>
        <v>N</v>
      </c>
      <c r="AC32" s="3"/>
      <c r="AD32" s="4" t="str">
        <f>IFERROR(__xludf.DUMMYFUNCTION("""COMPUTED_VALUE"""),"N")</f>
        <v>N</v>
      </c>
      <c r="AE32" s="24"/>
      <c r="AF32" s="3">
        <f>IFERROR(__xludf.DUMMYFUNCTION("""COMPUTED_VALUE"""),3.5)</f>
        <v>3.5</v>
      </c>
      <c r="AG32" s="3">
        <f>IFERROR(__xludf.DUMMYFUNCTION("""COMPUTED_VALUE"""),1.25)</f>
        <v>1.25</v>
      </c>
      <c r="AH32" s="4">
        <f>IFERROR(__xludf.DUMMYFUNCTION("""COMPUTED_VALUE"""),3.75)</f>
        <v>3.75</v>
      </c>
      <c r="AI32" s="24">
        <f>IFERROR(__xludf.DUMMYFUNCTION("""COMPUTED_VALUE"""),2.0)</f>
        <v>2</v>
      </c>
      <c r="AJ32" s="37">
        <f>IFERROR(__xludf.DUMMYFUNCTION("""COMPUTED_VALUE"""),0.0)</f>
        <v>0</v>
      </c>
      <c r="AK32" s="3">
        <f>IFERROR(__xludf.DUMMYFUNCTION("""COMPUTED_VALUE"""),6.167)</f>
        <v>6.167</v>
      </c>
      <c r="AL32" s="3">
        <f>IFERROR(__xludf.DUMMYFUNCTION("""COMPUTED_VALUE"""),1.95)</f>
        <v>1.95</v>
      </c>
      <c r="AM32" s="22">
        <f>IFERROR(__xludf.DUMMYFUNCTION("""COMPUTED_VALUE"""),0.0)</f>
        <v>0</v>
      </c>
      <c r="AN32" s="2">
        <f>IFERROR(__xludf.DUMMYFUNCTION("""COMPUTED_VALUE"""),8.25)</f>
        <v>8.25</v>
      </c>
      <c r="AO32" s="2"/>
      <c r="AP32" s="2"/>
      <c r="AQ32" s="2"/>
      <c r="AR32" s="2"/>
      <c r="AS32" s="2"/>
      <c r="AT32" s="2"/>
      <c r="AU32" s="2"/>
      <c r="AV32" s="2"/>
      <c r="AW32" s="2"/>
      <c r="AX32" s="2">
        <f>IFERROR(__xludf.DUMMYFUNCTION("""COMPUTED_VALUE"""),2.0)</f>
        <v>2</v>
      </c>
      <c r="AY32" s="2"/>
    </row>
    <row r="33">
      <c r="A33" s="3">
        <f>IFERROR(__xludf.DUMMYFUNCTION("""COMPUTED_VALUE"""),25.0)</f>
        <v>25</v>
      </c>
      <c r="B33" s="3" t="str">
        <f>IFERROR(__xludf.DUMMYFUNCTION("""COMPUTED_VALUE"""),"23201540")</f>
        <v>23201540</v>
      </c>
      <c r="C33" s="35" t="str">
        <f>IFERROR(__xludf.DUMMYFUNCTION("""COMPUTED_VALUE"""),"Mohazer Hoque")</f>
        <v>Mohazer Hoque</v>
      </c>
      <c r="D33" s="36" t="str">
        <f>IFERROR(__xludf.DUMMYFUNCTION("""COMPUTED_VALUE"""),"mohazer.hoque@g.bracu.ac.bd")</f>
        <v>mohazer.hoque@g.bracu.ac.bd</v>
      </c>
      <c r="E33" s="24" t="b">
        <f>IFERROR(__xludf.DUMMYFUNCTION("""COMPUTED_VALUE"""),TRUE)</f>
        <v>1</v>
      </c>
      <c r="F33" s="3">
        <f>IFERROR(__xludf.DUMMYFUNCTION("""COMPUTED_VALUE"""),1.0)</f>
        <v>1</v>
      </c>
      <c r="G33" s="4" t="str">
        <f>IFERROR(__xludf.DUMMYFUNCTION("""COMPUTED_VALUE"""),"WARNING")</f>
        <v>WARNING</v>
      </c>
      <c r="H33" s="24">
        <f>IFERROR(__xludf.DUMMYFUNCTION("""COMPUTED_VALUE"""),1.0)</f>
        <v>1</v>
      </c>
      <c r="I33" s="3">
        <f>IFERROR(__xludf.DUMMYFUNCTION("""COMPUTED_VALUE"""),1.0)</f>
        <v>1</v>
      </c>
      <c r="J33" s="3">
        <f>IFERROR(__xludf.DUMMYFUNCTION("""COMPUTED_VALUE"""),1.0)</f>
        <v>1</v>
      </c>
      <c r="K33" s="3">
        <f>IFERROR(__xludf.DUMMYFUNCTION("""COMPUTED_VALUE"""),1.0)</f>
        <v>1</v>
      </c>
      <c r="L33" s="3">
        <f>IFERROR(__xludf.DUMMYFUNCTION("""COMPUTED_VALUE"""),1.0)</f>
        <v>1</v>
      </c>
      <c r="M33" s="3">
        <f>IFERROR(__xludf.DUMMYFUNCTION("""COMPUTED_VALUE"""),1.0)</f>
        <v>1</v>
      </c>
      <c r="N33" s="3">
        <f>IFERROR(__xludf.DUMMYFUNCTION("""COMPUTED_VALUE"""),0.0)</f>
        <v>0</v>
      </c>
      <c r="O33" s="4">
        <f>IFERROR(__xludf.DUMMYFUNCTION("""COMPUTED_VALUE"""),1.0)</f>
        <v>1</v>
      </c>
      <c r="P33" s="24"/>
      <c r="Q33" s="3">
        <f>IFERROR(__xludf.DUMMYFUNCTION("""COMPUTED_VALUE"""),5.0)</f>
        <v>5</v>
      </c>
      <c r="R33" s="3"/>
      <c r="S33" s="3"/>
      <c r="T33" s="3"/>
      <c r="U33" s="3">
        <f>IFERROR(__xludf.DUMMYFUNCTION("""COMPUTED_VALUE"""),4.5)</f>
        <v>4.5</v>
      </c>
      <c r="V33" s="3"/>
      <c r="W33" s="4"/>
      <c r="X33" s="24">
        <f>IFERROR(__xludf.DUMMYFUNCTION("""COMPUTED_VALUE"""),4.5)</f>
        <v>4.5</v>
      </c>
      <c r="Y33" s="3">
        <f>IFERROR(__xludf.DUMMYFUNCTION("""COMPUTED_VALUE"""),5.0)</f>
        <v>5</v>
      </c>
      <c r="Z33" s="3">
        <f>IFERROR(__xludf.DUMMYFUNCTION("""COMPUTED_VALUE"""),5.0)</f>
        <v>5</v>
      </c>
      <c r="AA33" s="3">
        <f>IFERROR(__xludf.DUMMYFUNCTION("""COMPUTED_VALUE"""),5.0)</f>
        <v>5</v>
      </c>
      <c r="AB33" s="3">
        <f>IFERROR(__xludf.DUMMYFUNCTION("""COMPUTED_VALUE"""),5.0)</f>
        <v>5</v>
      </c>
      <c r="AC33" s="3"/>
      <c r="AD33" s="4" t="str">
        <f>IFERROR(__xludf.DUMMYFUNCTION("""COMPUTED_VALUE"""),"N")</f>
        <v>N</v>
      </c>
      <c r="AE33" s="24"/>
      <c r="AF33" s="3">
        <f>IFERROR(__xludf.DUMMYFUNCTION("""COMPUTED_VALUE"""),5.0)</f>
        <v>5</v>
      </c>
      <c r="AG33" s="3">
        <f>IFERROR(__xludf.DUMMYFUNCTION("""COMPUTED_VALUE"""),5.25)</f>
        <v>5.25</v>
      </c>
      <c r="AH33" s="4">
        <f>IFERROR(__xludf.DUMMYFUNCTION("""COMPUTED_VALUE"""),4.0)</f>
        <v>4</v>
      </c>
      <c r="AI33" s="24">
        <f>IFERROR(__xludf.DUMMYFUNCTION("""COMPUTED_VALUE"""),3.0)</f>
        <v>3</v>
      </c>
      <c r="AJ33" s="37">
        <f>IFERROR(__xludf.DUMMYFUNCTION("""COMPUTED_VALUE"""),0.0)</f>
        <v>0</v>
      </c>
      <c r="AK33" s="3">
        <f>IFERROR(__xludf.DUMMYFUNCTION("""COMPUTED_VALUE"""),9.5)</f>
        <v>9.5</v>
      </c>
      <c r="AL33" s="3">
        <f>IFERROR(__xludf.DUMMYFUNCTION("""COMPUTED_VALUE"""),2.85)</f>
        <v>2.85</v>
      </c>
      <c r="AM33" s="22">
        <f>IFERROR(__xludf.DUMMYFUNCTION("""COMPUTED_VALUE"""),1.225)</f>
        <v>1.225</v>
      </c>
      <c r="AN33" s="2">
        <f>IFERROR(__xludf.DUMMYFUNCTION("""COMPUTED_VALUE"""),13.75)</f>
        <v>13.75</v>
      </c>
      <c r="AO33" s="2"/>
      <c r="AP33" s="2"/>
      <c r="AQ33" s="2"/>
      <c r="AR33" s="2"/>
      <c r="AS33" s="2"/>
      <c r="AT33" s="2"/>
      <c r="AU33" s="2"/>
      <c r="AV33" s="2"/>
      <c r="AW33" s="2"/>
      <c r="AX33" s="2">
        <f>IFERROR(__xludf.DUMMYFUNCTION("""COMPUTED_VALUE"""),2.0)</f>
        <v>2</v>
      </c>
      <c r="AY33" s="2"/>
    </row>
    <row r="34">
      <c r="A34" s="3">
        <f>IFERROR(__xludf.DUMMYFUNCTION("""COMPUTED_VALUE"""),26.0)</f>
        <v>26</v>
      </c>
      <c r="B34" s="3" t="str">
        <f>IFERROR(__xludf.DUMMYFUNCTION("""COMPUTED_VALUE"""),"23201640")</f>
        <v>23201640</v>
      </c>
      <c r="C34" s="35" t="str">
        <f>IFERROR(__xludf.DUMMYFUNCTION("""COMPUTED_VALUE"""),"Sumaiya Tabassum")</f>
        <v>Sumaiya Tabassum</v>
      </c>
      <c r="D34" s="36" t="str">
        <f>IFERROR(__xludf.DUMMYFUNCTION("""COMPUTED_VALUE"""),"sumaiya.tabassum5@g.bracu.ac.bd")</f>
        <v>sumaiya.tabassum5@g.bracu.ac.bd</v>
      </c>
      <c r="E34" s="24" t="b">
        <f>IFERROR(__xludf.DUMMYFUNCTION("""COMPUTED_VALUE"""),TRUE)</f>
        <v>1</v>
      </c>
      <c r="F34" s="3">
        <f>IFERROR(__xludf.DUMMYFUNCTION("""COMPUTED_VALUE"""),0.0)</f>
        <v>0</v>
      </c>
      <c r="G34" s="4" t="str">
        <f>IFERROR(__xludf.DUMMYFUNCTION("""COMPUTED_VALUE"""),"OKAY")</f>
        <v>OKAY</v>
      </c>
      <c r="H34" s="24">
        <f>IFERROR(__xludf.DUMMYFUNCTION("""COMPUTED_VALUE"""),1.0)</f>
        <v>1</v>
      </c>
      <c r="I34" s="3">
        <f>IFERROR(__xludf.DUMMYFUNCTION("""COMPUTED_VALUE"""),1.0)</f>
        <v>1</v>
      </c>
      <c r="J34" s="3">
        <f>IFERROR(__xludf.DUMMYFUNCTION("""COMPUTED_VALUE"""),1.0)</f>
        <v>1</v>
      </c>
      <c r="K34" s="3">
        <f>IFERROR(__xludf.DUMMYFUNCTION("""COMPUTED_VALUE"""),1.0)</f>
        <v>1</v>
      </c>
      <c r="L34" s="3">
        <f>IFERROR(__xludf.DUMMYFUNCTION("""COMPUTED_VALUE"""),1.0)</f>
        <v>1</v>
      </c>
      <c r="M34" s="3">
        <f>IFERROR(__xludf.DUMMYFUNCTION("""COMPUTED_VALUE"""),1.0)</f>
        <v>1</v>
      </c>
      <c r="N34" s="3">
        <f>IFERROR(__xludf.DUMMYFUNCTION("""COMPUTED_VALUE"""),1.0)</f>
        <v>1</v>
      </c>
      <c r="O34" s="4">
        <f>IFERROR(__xludf.DUMMYFUNCTION("""COMPUTED_VALUE"""),1.0)</f>
        <v>1</v>
      </c>
      <c r="P34" s="24"/>
      <c r="Q34" s="3">
        <f>IFERROR(__xludf.DUMMYFUNCTION("""COMPUTED_VALUE"""),0.0)</f>
        <v>0</v>
      </c>
      <c r="R34" s="3"/>
      <c r="S34" s="3"/>
      <c r="T34" s="3"/>
      <c r="U34" s="3">
        <f>IFERROR(__xludf.DUMMYFUNCTION("""COMPUTED_VALUE"""),2.5)</f>
        <v>2.5</v>
      </c>
      <c r="V34" s="3"/>
      <c r="W34" s="4"/>
      <c r="X34" s="24">
        <f>IFERROR(__xludf.DUMMYFUNCTION("""COMPUTED_VALUE"""),0.0)</f>
        <v>0</v>
      </c>
      <c r="Y34" s="3" t="str">
        <f>IFERROR(__xludf.DUMMYFUNCTION("""COMPUTED_VALUE"""),"N")</f>
        <v>N</v>
      </c>
      <c r="Z34" s="3"/>
      <c r="AA34" s="3" t="str">
        <f>IFERROR(__xludf.DUMMYFUNCTION("""COMPUTED_VALUE"""),"N")</f>
        <v>N</v>
      </c>
      <c r="AB34" s="3" t="str">
        <f>IFERROR(__xludf.DUMMYFUNCTION("""COMPUTED_VALUE"""),"N")</f>
        <v>N</v>
      </c>
      <c r="AC34" s="3"/>
      <c r="AD34" s="4" t="str">
        <f>IFERROR(__xludf.DUMMYFUNCTION("""COMPUTED_VALUE"""),"N")</f>
        <v>N</v>
      </c>
      <c r="AE34" s="24"/>
      <c r="AF34" s="3">
        <f>IFERROR(__xludf.DUMMYFUNCTION("""COMPUTED_VALUE"""),1.0)</f>
        <v>1</v>
      </c>
      <c r="AG34" s="3">
        <f>IFERROR(__xludf.DUMMYFUNCTION("""COMPUTED_VALUE"""),0.0)</f>
        <v>0</v>
      </c>
      <c r="AH34" s="4">
        <f>IFERROR(__xludf.DUMMYFUNCTION("""COMPUTED_VALUE"""),0.0)</f>
        <v>0</v>
      </c>
      <c r="AI34" s="24">
        <f>IFERROR(__xludf.DUMMYFUNCTION("""COMPUTED_VALUE"""),1.0)</f>
        <v>1</v>
      </c>
      <c r="AJ34" s="37">
        <f>IFERROR(__xludf.DUMMYFUNCTION("""COMPUTED_VALUE"""),0.0)</f>
        <v>0</v>
      </c>
      <c r="AK34" s="3">
        <f>IFERROR(__xludf.DUMMYFUNCTION("""COMPUTED_VALUE"""),1.334)</f>
        <v>1.334</v>
      </c>
      <c r="AL34" s="3">
        <f>IFERROR(__xludf.DUMMYFUNCTION("""COMPUTED_VALUE"""),0.75)</f>
        <v>0.75</v>
      </c>
      <c r="AM34" s="22">
        <f>IFERROR(__xludf.DUMMYFUNCTION("""COMPUTED_VALUE"""),0.0)</f>
        <v>0</v>
      </c>
      <c r="AN34" s="2">
        <f>IFERROR(__xludf.DUMMYFUNCTION("""COMPUTED_VALUE"""),2.25)</f>
        <v>2.25</v>
      </c>
      <c r="AO34" s="2"/>
      <c r="AP34" s="2"/>
      <c r="AQ34" s="2"/>
      <c r="AR34" s="2"/>
      <c r="AS34" s="2"/>
      <c r="AT34" s="2"/>
      <c r="AU34" s="2"/>
      <c r="AV34" s="2"/>
      <c r="AW34" s="2"/>
      <c r="AX34" s="2">
        <f>IFERROR(__xludf.DUMMYFUNCTION("""COMPUTED_VALUE"""),2.0)</f>
        <v>2</v>
      </c>
      <c r="AY34" s="2"/>
    </row>
    <row r="35">
      <c r="A35" s="3">
        <f>IFERROR(__xludf.DUMMYFUNCTION("""COMPUTED_VALUE"""),27.0)</f>
        <v>27</v>
      </c>
      <c r="B35" s="3" t="str">
        <f>IFERROR(__xludf.DUMMYFUNCTION("""COMPUTED_VALUE"""),"23301590")</f>
        <v>23301590</v>
      </c>
      <c r="C35" s="35" t="str">
        <f>IFERROR(__xludf.DUMMYFUNCTION("""COMPUTED_VALUE"""),"B. A. M. Abid Hasan")</f>
        <v>B. A. M. Abid Hasan</v>
      </c>
      <c r="D35" s="36" t="str">
        <f>IFERROR(__xludf.DUMMYFUNCTION("""COMPUTED_VALUE"""),"bam.abid.hasan@g.bracu.ac.bd")</f>
        <v>bam.abid.hasan@g.bracu.ac.bd</v>
      </c>
      <c r="E35" s="24" t="b">
        <f>IFERROR(__xludf.DUMMYFUNCTION("""COMPUTED_VALUE"""),TRUE)</f>
        <v>1</v>
      </c>
      <c r="F35" s="3">
        <f>IFERROR(__xludf.DUMMYFUNCTION("""COMPUTED_VALUE"""),0.0)</f>
        <v>0</v>
      </c>
      <c r="G35" s="4" t="str">
        <f>IFERROR(__xludf.DUMMYFUNCTION("""COMPUTED_VALUE"""),"OKAY")</f>
        <v>OKAY</v>
      </c>
      <c r="H35" s="24">
        <f>IFERROR(__xludf.DUMMYFUNCTION("""COMPUTED_VALUE"""),1.0)</f>
        <v>1</v>
      </c>
      <c r="I35" s="3">
        <f>IFERROR(__xludf.DUMMYFUNCTION("""COMPUTED_VALUE"""),1.0)</f>
        <v>1</v>
      </c>
      <c r="J35" s="3">
        <f>IFERROR(__xludf.DUMMYFUNCTION("""COMPUTED_VALUE"""),1.0)</f>
        <v>1</v>
      </c>
      <c r="K35" s="3">
        <f>IFERROR(__xludf.DUMMYFUNCTION("""COMPUTED_VALUE"""),1.0)</f>
        <v>1</v>
      </c>
      <c r="L35" s="3">
        <f>IFERROR(__xludf.DUMMYFUNCTION("""COMPUTED_VALUE"""),1.0)</f>
        <v>1</v>
      </c>
      <c r="M35" s="3">
        <f>IFERROR(__xludf.DUMMYFUNCTION("""COMPUTED_VALUE"""),1.0)</f>
        <v>1</v>
      </c>
      <c r="N35" s="3">
        <f>IFERROR(__xludf.DUMMYFUNCTION("""COMPUTED_VALUE"""),1.0)</f>
        <v>1</v>
      </c>
      <c r="O35" s="4">
        <f>IFERROR(__xludf.DUMMYFUNCTION("""COMPUTED_VALUE"""),1.0)</f>
        <v>1</v>
      </c>
      <c r="P35" s="24"/>
      <c r="Q35" s="3">
        <f>IFERROR(__xludf.DUMMYFUNCTION("""COMPUTED_VALUE"""),5.0)</f>
        <v>5</v>
      </c>
      <c r="R35" s="3"/>
      <c r="S35" s="3"/>
      <c r="T35" s="3"/>
      <c r="U35" s="3">
        <f>IFERROR(__xludf.DUMMYFUNCTION("""COMPUTED_VALUE"""),2.0)</f>
        <v>2</v>
      </c>
      <c r="V35" s="3"/>
      <c r="W35" s="4"/>
      <c r="X35" s="24">
        <f>IFERROR(__xludf.DUMMYFUNCTION("""COMPUTED_VALUE"""),0.0)</f>
        <v>0</v>
      </c>
      <c r="Y35" s="3" t="str">
        <f>IFERROR(__xludf.DUMMYFUNCTION("""COMPUTED_VALUE"""),"N")</f>
        <v>N</v>
      </c>
      <c r="Z35" s="3"/>
      <c r="AA35" s="3" t="str">
        <f>IFERROR(__xludf.DUMMYFUNCTION("""COMPUTED_VALUE"""),"N")</f>
        <v>N</v>
      </c>
      <c r="AB35" s="3" t="str">
        <f>IFERROR(__xludf.DUMMYFUNCTION("""COMPUTED_VALUE"""),"N")</f>
        <v>N</v>
      </c>
      <c r="AC35" s="3"/>
      <c r="AD35" s="4" t="str">
        <f>IFERROR(__xludf.DUMMYFUNCTION("""COMPUTED_VALUE"""),"N")</f>
        <v>N</v>
      </c>
      <c r="AE35" s="24"/>
      <c r="AF35" s="3">
        <f>IFERROR(__xludf.DUMMYFUNCTION("""COMPUTED_VALUE"""),9.5)</f>
        <v>9.5</v>
      </c>
      <c r="AG35" s="3">
        <f>IFERROR(__xludf.DUMMYFUNCTION("""COMPUTED_VALUE"""),6.75)</f>
        <v>6.75</v>
      </c>
      <c r="AH35" s="4"/>
      <c r="AI35" s="24">
        <f>IFERROR(__xludf.DUMMYFUNCTION("""COMPUTED_VALUE"""),1.0)</f>
        <v>1</v>
      </c>
      <c r="AJ35" s="37">
        <f>IFERROR(__xludf.DUMMYFUNCTION("""COMPUTED_VALUE"""),0.0)</f>
        <v>0</v>
      </c>
      <c r="AK35" s="3">
        <f>IFERROR(__xludf.DUMMYFUNCTION("""COMPUTED_VALUE"""),11.5)</f>
        <v>11.5</v>
      </c>
      <c r="AL35" s="3">
        <f>IFERROR(__xludf.DUMMYFUNCTION("""COMPUTED_VALUE"""),2.1)</f>
        <v>2.1</v>
      </c>
      <c r="AM35" s="22">
        <f>IFERROR(__xludf.DUMMYFUNCTION("""COMPUTED_VALUE"""),0.0)</f>
        <v>0</v>
      </c>
      <c r="AN35" s="2">
        <f>IFERROR(__xludf.DUMMYFUNCTION("""COMPUTED_VALUE"""),13.75)</f>
        <v>13.75</v>
      </c>
      <c r="AO35" s="2"/>
      <c r="AP35" s="2"/>
      <c r="AQ35" s="2"/>
      <c r="AR35" s="2"/>
      <c r="AS35" s="2"/>
      <c r="AT35" s="2"/>
      <c r="AU35" s="2"/>
      <c r="AV35" s="2"/>
      <c r="AW35" s="2"/>
      <c r="AX35" s="2">
        <f>IFERROR(__xludf.DUMMYFUNCTION("""COMPUTED_VALUE"""),2.0)</f>
        <v>2</v>
      </c>
      <c r="AY35" s="2"/>
    </row>
    <row r="36">
      <c r="A36" s="3">
        <f>IFERROR(__xludf.DUMMYFUNCTION("""COMPUTED_VALUE"""),28.0)</f>
        <v>28</v>
      </c>
      <c r="B36" s="3" t="str">
        <f>IFERROR(__xludf.DUMMYFUNCTION("""COMPUTED_VALUE"""),"24101190")</f>
        <v>24101190</v>
      </c>
      <c r="C36" s="35" t="str">
        <f>IFERROR(__xludf.DUMMYFUNCTION("""COMPUTED_VALUE"""),"Saima Atika Orni")</f>
        <v>Saima Atika Orni</v>
      </c>
      <c r="D36" s="36" t="str">
        <f>IFERROR(__xludf.DUMMYFUNCTION("""COMPUTED_VALUE"""),"saima.atika.orni@g.bracu.ac.bd")</f>
        <v>saima.atika.orni@g.bracu.ac.bd</v>
      </c>
      <c r="E36" s="24" t="b">
        <f>IFERROR(__xludf.DUMMYFUNCTION("""COMPUTED_VALUE"""),TRUE)</f>
        <v>1</v>
      </c>
      <c r="F36" s="3">
        <f>IFERROR(__xludf.DUMMYFUNCTION("""COMPUTED_VALUE"""),0.0)</f>
        <v>0</v>
      </c>
      <c r="G36" s="4" t="str">
        <f>IFERROR(__xludf.DUMMYFUNCTION("""COMPUTED_VALUE"""),"OKAY")</f>
        <v>OKAY</v>
      </c>
      <c r="H36" s="24">
        <f>IFERROR(__xludf.DUMMYFUNCTION("""COMPUTED_VALUE"""),0.0)</f>
        <v>0</v>
      </c>
      <c r="I36" s="3">
        <f>IFERROR(__xludf.DUMMYFUNCTION("""COMPUTED_VALUE"""),1.0)</f>
        <v>1</v>
      </c>
      <c r="J36" s="3" t="str">
        <f>IFERROR(__xludf.DUMMYFUNCTION("""COMPUTED_VALUE"""),"S")</f>
        <v>S</v>
      </c>
      <c r="K36" s="3">
        <f>IFERROR(__xludf.DUMMYFUNCTION("""COMPUTED_VALUE"""),1.0)</f>
        <v>1</v>
      </c>
      <c r="L36" s="3">
        <f>IFERROR(__xludf.DUMMYFUNCTION("""COMPUTED_VALUE"""),1.0)</f>
        <v>1</v>
      </c>
      <c r="M36" s="3">
        <f>IFERROR(__xludf.DUMMYFUNCTION("""COMPUTED_VALUE"""),1.0)</f>
        <v>1</v>
      </c>
      <c r="N36" s="3">
        <f>IFERROR(__xludf.DUMMYFUNCTION("""COMPUTED_VALUE"""),1.0)</f>
        <v>1</v>
      </c>
      <c r="O36" s="4">
        <f>IFERROR(__xludf.DUMMYFUNCTION("""COMPUTED_VALUE"""),1.0)</f>
        <v>1</v>
      </c>
      <c r="P36" s="24"/>
      <c r="Q36" s="3">
        <f>IFERROR(__xludf.DUMMYFUNCTION("""COMPUTED_VALUE"""),4.5)</f>
        <v>4.5</v>
      </c>
      <c r="R36" s="3"/>
      <c r="S36" s="3"/>
      <c r="T36" s="3"/>
      <c r="U36" s="3">
        <f>IFERROR(__xludf.DUMMYFUNCTION("""COMPUTED_VALUE"""),2.5)</f>
        <v>2.5</v>
      </c>
      <c r="V36" s="3"/>
      <c r="W36" s="4"/>
      <c r="X36" s="24">
        <f>IFERROR(__xludf.DUMMYFUNCTION("""COMPUTED_VALUE"""),1.0)</f>
        <v>1</v>
      </c>
      <c r="Y36" s="3" t="str">
        <f>IFERROR(__xludf.DUMMYFUNCTION("""COMPUTED_VALUE"""),"N")</f>
        <v>N</v>
      </c>
      <c r="Z36" s="3">
        <f>IFERROR(__xludf.DUMMYFUNCTION("""COMPUTED_VALUE"""),5.0)</f>
        <v>5</v>
      </c>
      <c r="AA36" s="3" t="str">
        <f>IFERROR(__xludf.DUMMYFUNCTION("""COMPUTED_VALUE"""),"N")</f>
        <v>N</v>
      </c>
      <c r="AB36" s="3" t="str">
        <f>IFERROR(__xludf.DUMMYFUNCTION("""COMPUTED_VALUE"""),"N")</f>
        <v>N</v>
      </c>
      <c r="AC36" s="3"/>
      <c r="AD36" s="4">
        <f>IFERROR(__xludf.DUMMYFUNCTION("""COMPUTED_VALUE"""),3.8)</f>
        <v>3.8</v>
      </c>
      <c r="AE36" s="24">
        <f>IFERROR(__xludf.DUMMYFUNCTION("""COMPUTED_VALUE"""),5.0)</f>
        <v>5</v>
      </c>
      <c r="AF36" s="3"/>
      <c r="AG36" s="3">
        <f>IFERROR(__xludf.DUMMYFUNCTION("""COMPUTED_VALUE"""),3.0)</f>
        <v>3</v>
      </c>
      <c r="AH36" s="4">
        <f>IFERROR(__xludf.DUMMYFUNCTION("""COMPUTED_VALUE"""),4.5)</f>
        <v>4.5</v>
      </c>
      <c r="AI36" s="24">
        <f>IFERROR(__xludf.DUMMYFUNCTION("""COMPUTED_VALUE"""),1.0)</f>
        <v>1</v>
      </c>
      <c r="AJ36" s="37">
        <f>IFERROR(__xludf.DUMMYFUNCTION("""COMPUTED_VALUE"""),0.0)</f>
        <v>0</v>
      </c>
      <c r="AK36" s="3">
        <f>IFERROR(__xludf.DUMMYFUNCTION("""COMPUTED_VALUE"""),5.667)</f>
        <v>5.667</v>
      </c>
      <c r="AL36" s="3">
        <f>IFERROR(__xludf.DUMMYFUNCTION("""COMPUTED_VALUE"""),2.1)</f>
        <v>2.1</v>
      </c>
      <c r="AM36" s="22">
        <f>IFERROR(__xludf.DUMMYFUNCTION("""COMPUTED_VALUE"""),0.74)</f>
        <v>0.74</v>
      </c>
      <c r="AN36" s="2">
        <f>IFERROR(__xludf.DUMMYFUNCTION("""COMPUTED_VALUE"""),8.75)</f>
        <v>8.75</v>
      </c>
      <c r="AO36" s="2"/>
      <c r="AP36" s="2"/>
      <c r="AQ36" s="2"/>
      <c r="AR36" s="2"/>
      <c r="AS36" s="2"/>
      <c r="AT36" s="2"/>
      <c r="AU36" s="2"/>
      <c r="AV36" s="2"/>
      <c r="AW36" s="2"/>
      <c r="AX36" s="2">
        <f>IFERROR(__xludf.DUMMYFUNCTION("""COMPUTED_VALUE"""),2.0)</f>
        <v>2</v>
      </c>
      <c r="AY36" s="2"/>
    </row>
    <row r="37">
      <c r="A37" s="3">
        <f>IFERROR(__xludf.DUMMYFUNCTION("""COMPUTED_VALUE"""),29.0)</f>
        <v>29</v>
      </c>
      <c r="B37" s="3" t="str">
        <f>IFERROR(__xludf.DUMMYFUNCTION("""COMPUTED_VALUE"""),"24101446")</f>
        <v>24101446</v>
      </c>
      <c r="C37" s="35" t="str">
        <f>IFERROR(__xludf.DUMMYFUNCTION("""COMPUTED_VALUE"""),"Khandaker Md. Fahmiduzzaman")</f>
        <v>Khandaker Md. Fahmiduzzaman</v>
      </c>
      <c r="D37" s="36" t="str">
        <f>IFERROR(__xludf.DUMMYFUNCTION("""COMPUTED_VALUE"""),"khandaker.md.fahmiduzzaman@g.bracu.ac.bd")</f>
        <v>khandaker.md.fahmiduzzaman@g.bracu.ac.bd</v>
      </c>
      <c r="E37" s="24" t="b">
        <f>IFERROR(__xludf.DUMMYFUNCTION("""COMPUTED_VALUE"""),TRUE)</f>
        <v>1</v>
      </c>
      <c r="F37" s="3">
        <f>IFERROR(__xludf.DUMMYFUNCTION("""COMPUTED_VALUE"""),1.0)</f>
        <v>1</v>
      </c>
      <c r="G37" s="4" t="str">
        <f>IFERROR(__xludf.DUMMYFUNCTION("""COMPUTED_VALUE"""),"WARNING")</f>
        <v>WARNING</v>
      </c>
      <c r="H37" s="24">
        <f>IFERROR(__xludf.DUMMYFUNCTION("""COMPUTED_VALUE"""),1.0)</f>
        <v>1</v>
      </c>
      <c r="I37" s="3">
        <f>IFERROR(__xludf.DUMMYFUNCTION("""COMPUTED_VALUE"""),1.0)</f>
        <v>1</v>
      </c>
      <c r="J37" s="3">
        <f>IFERROR(__xludf.DUMMYFUNCTION("""COMPUTED_VALUE"""),0.0)</f>
        <v>0</v>
      </c>
      <c r="K37" s="3">
        <f>IFERROR(__xludf.DUMMYFUNCTION("""COMPUTED_VALUE"""),1.0)</f>
        <v>1</v>
      </c>
      <c r="L37" s="3">
        <f>IFERROR(__xludf.DUMMYFUNCTION("""COMPUTED_VALUE"""),1.0)</f>
        <v>1</v>
      </c>
      <c r="M37" s="3">
        <f>IFERROR(__xludf.DUMMYFUNCTION("""COMPUTED_VALUE"""),1.0)</f>
        <v>1</v>
      </c>
      <c r="N37" s="3">
        <f>IFERROR(__xludf.DUMMYFUNCTION("""COMPUTED_VALUE"""),1.0)</f>
        <v>1</v>
      </c>
      <c r="O37" s="4">
        <f>IFERROR(__xludf.DUMMYFUNCTION("""COMPUTED_VALUE"""),1.0)</f>
        <v>1</v>
      </c>
      <c r="P37" s="24"/>
      <c r="Q37" s="3">
        <f>IFERROR(__xludf.DUMMYFUNCTION("""COMPUTED_VALUE"""),3.5)</f>
        <v>3.5</v>
      </c>
      <c r="R37" s="3"/>
      <c r="S37" s="3"/>
      <c r="T37" s="3"/>
      <c r="U37" s="3"/>
      <c r="V37" s="3"/>
      <c r="W37" s="4"/>
      <c r="X37" s="24">
        <f>IFERROR(__xludf.DUMMYFUNCTION("""COMPUTED_VALUE"""),2.0)</f>
        <v>2</v>
      </c>
      <c r="Y37" s="3" t="str">
        <f>IFERROR(__xludf.DUMMYFUNCTION("""COMPUTED_VALUE"""),"N")</f>
        <v>N</v>
      </c>
      <c r="Z37" s="3"/>
      <c r="AA37" s="3" t="str">
        <f>IFERROR(__xludf.DUMMYFUNCTION("""COMPUTED_VALUE"""),"N")</f>
        <v>N</v>
      </c>
      <c r="AB37" s="3" t="str">
        <f>IFERROR(__xludf.DUMMYFUNCTION("""COMPUTED_VALUE"""),"N")</f>
        <v>N</v>
      </c>
      <c r="AC37" s="3"/>
      <c r="AD37" s="4" t="str">
        <f>IFERROR(__xludf.DUMMYFUNCTION("""COMPUTED_VALUE"""),"N")</f>
        <v>N</v>
      </c>
      <c r="AE37" s="24"/>
      <c r="AF37" s="3"/>
      <c r="AG37" s="3">
        <f>IFERROR(__xludf.DUMMYFUNCTION("""COMPUTED_VALUE"""),2.5)</f>
        <v>2.5</v>
      </c>
      <c r="AH37" s="4">
        <f>IFERROR(__xludf.DUMMYFUNCTION("""COMPUTED_VALUE"""),0.5)</f>
        <v>0.5</v>
      </c>
      <c r="AI37" s="24">
        <f>IFERROR(__xludf.DUMMYFUNCTION("""COMPUTED_VALUE"""),3.0)</f>
        <v>3</v>
      </c>
      <c r="AJ37" s="37">
        <f>IFERROR(__xludf.DUMMYFUNCTION("""COMPUTED_VALUE"""),0.0)</f>
        <v>0</v>
      </c>
      <c r="AK37" s="3">
        <f>IFERROR(__xludf.DUMMYFUNCTION("""COMPUTED_VALUE"""),4.0)</f>
        <v>4</v>
      </c>
      <c r="AL37" s="3">
        <f>IFERROR(__xludf.DUMMYFUNCTION("""COMPUTED_VALUE"""),1.05)</f>
        <v>1.05</v>
      </c>
      <c r="AM37" s="22">
        <f>IFERROR(__xludf.DUMMYFUNCTION("""COMPUTED_VALUE"""),0.1)</f>
        <v>0.1</v>
      </c>
      <c r="AN37" s="2">
        <f>IFERROR(__xludf.DUMMYFUNCTION("""COMPUTED_VALUE"""),5.25)</f>
        <v>5.25</v>
      </c>
      <c r="AO37" s="2"/>
      <c r="AP37" s="2"/>
      <c r="AQ37" s="2"/>
      <c r="AR37" s="2"/>
      <c r="AS37" s="2"/>
      <c r="AT37" s="2"/>
      <c r="AU37" s="2"/>
      <c r="AV37" s="2"/>
      <c r="AW37" s="2"/>
      <c r="AX37" s="2">
        <f>IFERROR(__xludf.DUMMYFUNCTION("""COMPUTED_VALUE"""),1.0)</f>
        <v>1</v>
      </c>
      <c r="AY37" s="2"/>
    </row>
    <row r="38">
      <c r="A38" s="3">
        <f>IFERROR(__xludf.DUMMYFUNCTION("""COMPUTED_VALUE"""),30.0)</f>
        <v>30</v>
      </c>
      <c r="B38" s="3" t="str">
        <f>IFERROR(__xludf.DUMMYFUNCTION("""COMPUTED_VALUE"""),"24101453")</f>
        <v>24101453</v>
      </c>
      <c r="C38" s="35" t="str">
        <f>IFERROR(__xludf.DUMMYFUNCTION("""COMPUTED_VALUE"""),"Muntasir Bin Islam")</f>
        <v>Muntasir Bin Islam</v>
      </c>
      <c r="D38" s="36" t="str">
        <f>IFERROR(__xludf.DUMMYFUNCTION("""COMPUTED_VALUE"""),"muntasir.bin.islam@g.bracu.ac.bd")</f>
        <v>muntasir.bin.islam@g.bracu.ac.bd</v>
      </c>
      <c r="E38" s="24" t="b">
        <f>IFERROR(__xludf.DUMMYFUNCTION("""COMPUTED_VALUE"""),FALSE)</f>
        <v>0</v>
      </c>
      <c r="F38" s="3">
        <f>IFERROR(__xludf.DUMMYFUNCTION("""COMPUTED_VALUE"""),7.0)</f>
        <v>7</v>
      </c>
      <c r="G38" s="4" t="str">
        <f>IFERROR(__xludf.DUMMYFUNCTION("""COMPUTED_VALUE"""),"BARRED")</f>
        <v>BARRED</v>
      </c>
      <c r="H38" s="24">
        <f>IFERROR(__xludf.DUMMYFUNCTION("""COMPUTED_VALUE"""),0.0)</f>
        <v>0</v>
      </c>
      <c r="I38" s="3">
        <f>IFERROR(__xludf.DUMMYFUNCTION("""COMPUTED_VALUE"""),0.0)</f>
        <v>0</v>
      </c>
      <c r="J38" s="3">
        <f>IFERROR(__xludf.DUMMYFUNCTION("""COMPUTED_VALUE"""),0.0)</f>
        <v>0</v>
      </c>
      <c r="K38" s="3">
        <f>IFERROR(__xludf.DUMMYFUNCTION("""COMPUTED_VALUE"""),0.0)</f>
        <v>0</v>
      </c>
      <c r="L38" s="3">
        <f>IFERROR(__xludf.DUMMYFUNCTION("""COMPUTED_VALUE"""),0.0)</f>
        <v>0</v>
      </c>
      <c r="M38" s="3">
        <f>IFERROR(__xludf.DUMMYFUNCTION("""COMPUTED_VALUE"""),0.0)</f>
        <v>0</v>
      </c>
      <c r="N38" s="3">
        <f>IFERROR(__xludf.DUMMYFUNCTION("""COMPUTED_VALUE"""),0.0)</f>
        <v>0</v>
      </c>
      <c r="O38" s="4">
        <f>IFERROR(__xludf.DUMMYFUNCTION("""COMPUTED_VALUE"""),0.0)</f>
        <v>0</v>
      </c>
      <c r="P38" s="24"/>
      <c r="Q38" s="3">
        <f>IFERROR(__xludf.DUMMYFUNCTION("""COMPUTED_VALUE"""),0.0)</f>
        <v>0</v>
      </c>
      <c r="R38" s="3"/>
      <c r="S38" s="3"/>
      <c r="T38" s="3"/>
      <c r="U38" s="3"/>
      <c r="V38" s="3"/>
      <c r="W38" s="4"/>
      <c r="X38" s="24">
        <f>IFERROR(__xludf.DUMMYFUNCTION("""COMPUTED_VALUE"""),0.0)</f>
        <v>0</v>
      </c>
      <c r="Y38" s="3" t="str">
        <f>IFERROR(__xludf.DUMMYFUNCTION("""COMPUTED_VALUE"""),"N")</f>
        <v>N</v>
      </c>
      <c r="Z38" s="3"/>
      <c r="AA38" s="3" t="str">
        <f>IFERROR(__xludf.DUMMYFUNCTION("""COMPUTED_VALUE"""),"N")</f>
        <v>N</v>
      </c>
      <c r="AB38" s="3" t="str">
        <f>IFERROR(__xludf.DUMMYFUNCTION("""COMPUTED_VALUE"""),"N")</f>
        <v>N</v>
      </c>
      <c r="AC38" s="3"/>
      <c r="AD38" s="4" t="str">
        <f>IFERROR(__xludf.DUMMYFUNCTION("""COMPUTED_VALUE"""),"N")</f>
        <v>N</v>
      </c>
      <c r="AE38" s="24"/>
      <c r="AF38" s="3"/>
      <c r="AG38" s="3"/>
      <c r="AH38" s="4"/>
      <c r="AI38" s="24"/>
      <c r="AJ38" s="37">
        <f>IFERROR(__xludf.DUMMYFUNCTION("""COMPUTED_VALUE"""),0.0)</f>
        <v>0</v>
      </c>
      <c r="AK38" s="3">
        <f>IFERROR(__xludf.DUMMYFUNCTION("""COMPUTED_VALUE"""),0.0)</f>
        <v>0</v>
      </c>
      <c r="AL38" s="3">
        <f>IFERROR(__xludf.DUMMYFUNCTION("""COMPUTED_VALUE"""),0.0)</f>
        <v>0</v>
      </c>
      <c r="AM38" s="22">
        <f>IFERROR(__xludf.DUMMYFUNCTION("""COMPUTED_VALUE"""),0.0)</f>
        <v>0</v>
      </c>
      <c r="AN38" s="2">
        <f>IFERROR(__xludf.DUMMYFUNCTION("""COMPUTED_VALUE"""),0.0)</f>
        <v>0</v>
      </c>
      <c r="AO38" s="2"/>
      <c r="AP38" s="2"/>
      <c r="AQ38" s="2"/>
      <c r="AR38" s="2"/>
      <c r="AS38" s="2"/>
      <c r="AT38" s="2"/>
      <c r="AU38" s="2"/>
      <c r="AV38" s="2"/>
      <c r="AW38" s="2"/>
      <c r="AX38" s="2">
        <f>IFERROR(__xludf.DUMMYFUNCTION("""COMPUTED_VALUE"""),1.0)</f>
        <v>1</v>
      </c>
      <c r="AY38" s="2"/>
    </row>
    <row r="39">
      <c r="A39" s="3">
        <f>IFERROR(__xludf.DUMMYFUNCTION("""COMPUTED_VALUE"""),31.0)</f>
        <v>31</v>
      </c>
      <c r="B39" s="3" t="str">
        <f>IFERROR(__xludf.DUMMYFUNCTION("""COMPUTED_VALUE"""),"24101467")</f>
        <v>24101467</v>
      </c>
      <c r="C39" s="35" t="str">
        <f>IFERROR(__xludf.DUMMYFUNCTION("""COMPUTED_VALUE"""),"Aritri Chowdhury Sneha")</f>
        <v>Aritri Chowdhury Sneha</v>
      </c>
      <c r="D39" s="36" t="str">
        <f>IFERROR(__xludf.DUMMYFUNCTION("""COMPUTED_VALUE"""),"aritri.chowdhury.sneha@g.bracu.ac.bd")</f>
        <v>aritri.chowdhury.sneha@g.bracu.ac.bd</v>
      </c>
      <c r="E39" s="24" t="b">
        <f>IFERROR(__xludf.DUMMYFUNCTION("""COMPUTED_VALUE"""),TRUE)</f>
        <v>1</v>
      </c>
      <c r="F39" s="3">
        <f>IFERROR(__xludf.DUMMYFUNCTION("""COMPUTED_VALUE"""),1.0)</f>
        <v>1</v>
      </c>
      <c r="G39" s="4" t="str">
        <f>IFERROR(__xludf.DUMMYFUNCTION("""COMPUTED_VALUE"""),"WARNING")</f>
        <v>WARNING</v>
      </c>
      <c r="H39" s="24">
        <f>IFERROR(__xludf.DUMMYFUNCTION("""COMPUTED_VALUE"""),1.0)</f>
        <v>1</v>
      </c>
      <c r="I39" s="3">
        <f>IFERROR(__xludf.DUMMYFUNCTION("""COMPUTED_VALUE"""),0.0)</f>
        <v>0</v>
      </c>
      <c r="J39" s="3">
        <f>IFERROR(__xludf.DUMMYFUNCTION("""COMPUTED_VALUE"""),1.0)</f>
        <v>1</v>
      </c>
      <c r="K39" s="3">
        <f>IFERROR(__xludf.DUMMYFUNCTION("""COMPUTED_VALUE"""),1.0)</f>
        <v>1</v>
      </c>
      <c r="L39" s="3" t="str">
        <f>IFERROR(__xludf.DUMMYFUNCTION("""COMPUTED_VALUE"""),"S")</f>
        <v>S</v>
      </c>
      <c r="M39" s="3">
        <f>IFERROR(__xludf.DUMMYFUNCTION("""COMPUTED_VALUE"""),1.0)</f>
        <v>1</v>
      </c>
      <c r="N39" s="3">
        <f>IFERROR(__xludf.DUMMYFUNCTION("""COMPUTED_VALUE"""),1.0)</f>
        <v>1</v>
      </c>
      <c r="O39" s="4">
        <f>IFERROR(__xludf.DUMMYFUNCTION("""COMPUTED_VALUE"""),1.0)</f>
        <v>1</v>
      </c>
      <c r="P39" s="24"/>
      <c r="Q39" s="3">
        <f>IFERROR(__xludf.DUMMYFUNCTION("""COMPUTED_VALUE"""),0.0)</f>
        <v>0</v>
      </c>
      <c r="R39" s="3"/>
      <c r="S39" s="3"/>
      <c r="T39" s="3"/>
      <c r="U39" s="3">
        <f>IFERROR(__xludf.DUMMYFUNCTION("""COMPUTED_VALUE"""),2.0)</f>
        <v>2</v>
      </c>
      <c r="V39" s="3"/>
      <c r="W39" s="4"/>
      <c r="X39" s="24">
        <f>IFERROR(__xludf.DUMMYFUNCTION("""COMPUTED_VALUE"""),0.0)</f>
        <v>0</v>
      </c>
      <c r="Y39" s="3" t="str">
        <f>IFERROR(__xludf.DUMMYFUNCTION("""COMPUTED_VALUE"""),"N")</f>
        <v>N</v>
      </c>
      <c r="Z39" s="3"/>
      <c r="AA39" s="3" t="str">
        <f>IFERROR(__xludf.DUMMYFUNCTION("""COMPUTED_VALUE"""),"N")</f>
        <v>N</v>
      </c>
      <c r="AB39" s="3" t="str">
        <f>IFERROR(__xludf.DUMMYFUNCTION("""COMPUTED_VALUE"""),"N")</f>
        <v>N</v>
      </c>
      <c r="AC39" s="3"/>
      <c r="AD39" s="4" t="str">
        <f>IFERROR(__xludf.DUMMYFUNCTION("""COMPUTED_VALUE"""),"N")</f>
        <v>N</v>
      </c>
      <c r="AE39" s="24"/>
      <c r="AF39" s="3">
        <f>IFERROR(__xludf.DUMMYFUNCTION("""COMPUTED_VALUE"""),3.5)</f>
        <v>3.5</v>
      </c>
      <c r="AG39" s="3">
        <f>IFERROR(__xludf.DUMMYFUNCTION("""COMPUTED_VALUE"""),2.0)</f>
        <v>2</v>
      </c>
      <c r="AH39" s="4">
        <f>IFERROR(__xludf.DUMMYFUNCTION("""COMPUTED_VALUE"""),8.0)</f>
        <v>8</v>
      </c>
      <c r="AI39" s="24">
        <f>IFERROR(__xludf.DUMMYFUNCTION("""COMPUTED_VALUE"""),1.0)</f>
        <v>1</v>
      </c>
      <c r="AJ39" s="37">
        <f>IFERROR(__xludf.DUMMYFUNCTION("""COMPUTED_VALUE"""),0.0)</f>
        <v>0</v>
      </c>
      <c r="AK39" s="3">
        <f>IFERROR(__xludf.DUMMYFUNCTION("""COMPUTED_VALUE"""),9.0)</f>
        <v>9</v>
      </c>
      <c r="AL39" s="3">
        <f>IFERROR(__xludf.DUMMYFUNCTION("""COMPUTED_VALUE"""),0.6)</f>
        <v>0.6</v>
      </c>
      <c r="AM39" s="22">
        <f>IFERROR(__xludf.DUMMYFUNCTION("""COMPUTED_VALUE"""),0.0)</f>
        <v>0</v>
      </c>
      <c r="AN39" s="2">
        <f>IFERROR(__xludf.DUMMYFUNCTION("""COMPUTED_VALUE"""),9.75)</f>
        <v>9.75</v>
      </c>
      <c r="AO39" s="2"/>
      <c r="AP39" s="2"/>
      <c r="AQ39" s="2"/>
      <c r="AR39" s="2"/>
      <c r="AS39" s="2"/>
      <c r="AT39" s="2"/>
      <c r="AU39" s="2"/>
      <c r="AV39" s="2"/>
      <c r="AW39" s="2"/>
      <c r="AX39" s="2">
        <f>IFERROR(__xludf.DUMMYFUNCTION("""COMPUTED_VALUE"""),2.0)</f>
        <v>2</v>
      </c>
      <c r="AY39" s="2"/>
    </row>
    <row r="40">
      <c r="A40" s="3">
        <f>IFERROR(__xludf.DUMMYFUNCTION("""COMPUTED_VALUE"""),32.0)</f>
        <v>32</v>
      </c>
      <c r="B40" s="3" t="str">
        <f>IFERROR(__xludf.DUMMYFUNCTION("""COMPUTED_VALUE"""),"24101590")</f>
        <v>24101590</v>
      </c>
      <c r="C40" s="35" t="str">
        <f>IFERROR(__xludf.DUMMYFUNCTION("""COMPUTED_VALUE"""),"Sayada Sania Tanjim")</f>
        <v>Sayada Sania Tanjim</v>
      </c>
      <c r="D40" s="36" t="str">
        <f>IFERROR(__xludf.DUMMYFUNCTION("""COMPUTED_VALUE"""),"sayada.sania.tanjim@g.bracu.ac.bd")</f>
        <v>sayada.sania.tanjim@g.bracu.ac.bd</v>
      </c>
      <c r="E40" s="24" t="b">
        <f>IFERROR(__xludf.DUMMYFUNCTION("""COMPUTED_VALUE"""),TRUE)</f>
        <v>1</v>
      </c>
      <c r="F40" s="3">
        <f>IFERROR(__xludf.DUMMYFUNCTION("""COMPUTED_VALUE"""),1.0)</f>
        <v>1</v>
      </c>
      <c r="G40" s="4" t="str">
        <f>IFERROR(__xludf.DUMMYFUNCTION("""COMPUTED_VALUE"""),"WARNING")</f>
        <v>WARNING</v>
      </c>
      <c r="H40" s="24">
        <f>IFERROR(__xludf.DUMMYFUNCTION("""COMPUTED_VALUE"""),1.0)</f>
        <v>1</v>
      </c>
      <c r="I40" s="3">
        <f>IFERROR(__xludf.DUMMYFUNCTION("""COMPUTED_VALUE"""),1.0)</f>
        <v>1</v>
      </c>
      <c r="J40" s="3">
        <f>IFERROR(__xludf.DUMMYFUNCTION("""COMPUTED_VALUE"""),1.0)</f>
        <v>1</v>
      </c>
      <c r="K40" s="3">
        <f>IFERROR(__xludf.DUMMYFUNCTION("""COMPUTED_VALUE"""),1.0)</f>
        <v>1</v>
      </c>
      <c r="L40" s="3">
        <f>IFERROR(__xludf.DUMMYFUNCTION("""COMPUTED_VALUE"""),1.0)</f>
        <v>1</v>
      </c>
      <c r="M40" s="3">
        <f>IFERROR(__xludf.DUMMYFUNCTION("""COMPUTED_VALUE"""),1.0)</f>
        <v>1</v>
      </c>
      <c r="N40" s="3">
        <f>IFERROR(__xludf.DUMMYFUNCTION("""COMPUTED_VALUE"""),0.0)</f>
        <v>0</v>
      </c>
      <c r="O40" s="4">
        <f>IFERROR(__xludf.DUMMYFUNCTION("""COMPUTED_VALUE"""),1.0)</f>
        <v>1</v>
      </c>
      <c r="P40" s="24"/>
      <c r="Q40" s="3">
        <f>IFERROR(__xludf.DUMMYFUNCTION("""COMPUTED_VALUE"""),4.5)</f>
        <v>4.5</v>
      </c>
      <c r="R40" s="3"/>
      <c r="S40" s="3"/>
      <c r="T40" s="3"/>
      <c r="U40" s="3">
        <f>IFERROR(__xludf.DUMMYFUNCTION("""COMPUTED_VALUE"""),2.5)</f>
        <v>2.5</v>
      </c>
      <c r="V40" s="3"/>
      <c r="W40" s="4"/>
      <c r="X40" s="24">
        <f>IFERROR(__xludf.DUMMYFUNCTION("""COMPUTED_VALUE"""),5.0)</f>
        <v>5</v>
      </c>
      <c r="Y40" s="3" t="str">
        <f>IFERROR(__xludf.DUMMYFUNCTION("""COMPUTED_VALUE"""),"N")</f>
        <v>N</v>
      </c>
      <c r="Z40" s="3">
        <f>IFERROR(__xludf.DUMMYFUNCTION("""COMPUTED_VALUE"""),5.0)</f>
        <v>5</v>
      </c>
      <c r="AA40" s="3" t="str">
        <f>IFERROR(__xludf.DUMMYFUNCTION("""COMPUTED_VALUE"""),"N")</f>
        <v>N</v>
      </c>
      <c r="AB40" s="3" t="str">
        <f>IFERROR(__xludf.DUMMYFUNCTION("""COMPUTED_VALUE"""),"N")</f>
        <v>N</v>
      </c>
      <c r="AC40" s="3"/>
      <c r="AD40" s="4" t="str">
        <f>IFERROR(__xludf.DUMMYFUNCTION("""COMPUTED_VALUE"""),"N")</f>
        <v>N</v>
      </c>
      <c r="AE40" s="24">
        <f>IFERROR(__xludf.DUMMYFUNCTION("""COMPUTED_VALUE"""),5.0)</f>
        <v>5</v>
      </c>
      <c r="AF40" s="3">
        <f>IFERROR(__xludf.DUMMYFUNCTION("""COMPUTED_VALUE"""),3.5)</f>
        <v>3.5</v>
      </c>
      <c r="AG40" s="3">
        <f>IFERROR(__xludf.DUMMYFUNCTION("""COMPUTED_VALUE"""),2.5)</f>
        <v>2.5</v>
      </c>
      <c r="AH40" s="4"/>
      <c r="AI40" s="24">
        <f>IFERROR(__xludf.DUMMYFUNCTION("""COMPUTED_VALUE"""),4.0)</f>
        <v>4</v>
      </c>
      <c r="AJ40" s="37">
        <f>IFERROR(__xludf.DUMMYFUNCTION("""COMPUTED_VALUE"""),0.0)</f>
        <v>0</v>
      </c>
      <c r="AK40" s="3">
        <f>IFERROR(__xludf.DUMMYFUNCTION("""COMPUTED_VALUE"""),6.667)</f>
        <v>6.667</v>
      </c>
      <c r="AL40" s="3">
        <f>IFERROR(__xludf.DUMMYFUNCTION("""COMPUTED_VALUE"""),2.1)</f>
        <v>2.1</v>
      </c>
      <c r="AM40" s="22">
        <f>IFERROR(__xludf.DUMMYFUNCTION("""COMPUTED_VALUE"""),0.75)</f>
        <v>0.75</v>
      </c>
      <c r="AN40" s="2">
        <f>IFERROR(__xludf.DUMMYFUNCTION("""COMPUTED_VALUE"""),9.75)</f>
        <v>9.75</v>
      </c>
      <c r="AO40" s="2"/>
      <c r="AP40" s="2"/>
      <c r="AQ40" s="2"/>
      <c r="AR40" s="2"/>
      <c r="AS40" s="2"/>
      <c r="AT40" s="2"/>
      <c r="AU40" s="2"/>
      <c r="AV40" s="2"/>
      <c r="AW40" s="2"/>
      <c r="AX40" s="2">
        <f>IFERROR(__xludf.DUMMYFUNCTION("""COMPUTED_VALUE"""),2.0)</f>
        <v>2</v>
      </c>
      <c r="AY40" s="2"/>
    </row>
    <row r="41">
      <c r="A41" s="3">
        <f>IFERROR(__xludf.DUMMYFUNCTION("""COMPUTED_VALUE"""),33.0)</f>
        <v>33</v>
      </c>
      <c r="B41" s="3" t="str">
        <f>IFERROR(__xludf.DUMMYFUNCTION("""COMPUTED_VALUE"""),"24101601")</f>
        <v>24101601</v>
      </c>
      <c r="C41" s="35" t="str">
        <f>IFERROR(__xludf.DUMMYFUNCTION("""COMPUTED_VALUE"""),"Maisha Rahman")</f>
        <v>Maisha Rahman</v>
      </c>
      <c r="D41" s="36" t="str">
        <f>IFERROR(__xludf.DUMMYFUNCTION("""COMPUTED_VALUE"""),"maisha.rahman2@g.bracu.ac.bd")</f>
        <v>maisha.rahman2@g.bracu.ac.bd</v>
      </c>
      <c r="E41" s="24" t="b">
        <f>IFERROR(__xludf.DUMMYFUNCTION("""COMPUTED_VALUE"""),TRUE)</f>
        <v>1</v>
      </c>
      <c r="F41" s="3">
        <f>IFERROR(__xludf.DUMMYFUNCTION("""COMPUTED_VALUE"""),0.0)</f>
        <v>0</v>
      </c>
      <c r="G41" s="4" t="str">
        <f>IFERROR(__xludf.DUMMYFUNCTION("""COMPUTED_VALUE"""),"OKAY")</f>
        <v>OKAY</v>
      </c>
      <c r="H41" s="24">
        <f>IFERROR(__xludf.DUMMYFUNCTION("""COMPUTED_VALUE"""),1.0)</f>
        <v>1</v>
      </c>
      <c r="I41" s="3">
        <f>IFERROR(__xludf.DUMMYFUNCTION("""COMPUTED_VALUE"""),1.0)</f>
        <v>1</v>
      </c>
      <c r="J41" s="3">
        <f>IFERROR(__xludf.DUMMYFUNCTION("""COMPUTED_VALUE"""),1.0)</f>
        <v>1</v>
      </c>
      <c r="K41" s="3">
        <f>IFERROR(__xludf.DUMMYFUNCTION("""COMPUTED_VALUE"""),1.0)</f>
        <v>1</v>
      </c>
      <c r="L41" s="3">
        <f>IFERROR(__xludf.DUMMYFUNCTION("""COMPUTED_VALUE"""),1.0)</f>
        <v>1</v>
      </c>
      <c r="M41" s="3">
        <f>IFERROR(__xludf.DUMMYFUNCTION("""COMPUTED_VALUE"""),1.0)</f>
        <v>1</v>
      </c>
      <c r="N41" s="3">
        <f>IFERROR(__xludf.DUMMYFUNCTION("""COMPUTED_VALUE"""),1.0)</f>
        <v>1</v>
      </c>
      <c r="O41" s="4">
        <f>IFERROR(__xludf.DUMMYFUNCTION("""COMPUTED_VALUE"""),1.0)</f>
        <v>1</v>
      </c>
      <c r="P41" s="24"/>
      <c r="Q41" s="3">
        <f>IFERROR(__xludf.DUMMYFUNCTION("""COMPUTED_VALUE"""),5.0)</f>
        <v>5</v>
      </c>
      <c r="R41" s="3"/>
      <c r="S41" s="3"/>
      <c r="T41" s="3"/>
      <c r="U41" s="3">
        <f>IFERROR(__xludf.DUMMYFUNCTION("""COMPUTED_VALUE"""),5.0)</f>
        <v>5</v>
      </c>
      <c r="V41" s="3"/>
      <c r="W41" s="4"/>
      <c r="X41" s="24">
        <f>IFERROR(__xludf.DUMMYFUNCTION("""COMPUTED_VALUE"""),5.0)</f>
        <v>5</v>
      </c>
      <c r="Y41" s="3">
        <f>IFERROR(__xludf.DUMMYFUNCTION("""COMPUTED_VALUE"""),5.0)</f>
        <v>5</v>
      </c>
      <c r="Z41" s="3">
        <f>IFERROR(__xludf.DUMMYFUNCTION("""COMPUTED_VALUE"""),2.0)</f>
        <v>2</v>
      </c>
      <c r="AA41" s="3">
        <f>IFERROR(__xludf.DUMMYFUNCTION("""COMPUTED_VALUE"""),1.7)</f>
        <v>1.7</v>
      </c>
      <c r="AB41" s="3">
        <f>IFERROR(__xludf.DUMMYFUNCTION("""COMPUTED_VALUE"""),3.6)</f>
        <v>3.6</v>
      </c>
      <c r="AC41" s="3"/>
      <c r="AD41" s="4" t="str">
        <f>IFERROR(__xludf.DUMMYFUNCTION("""COMPUTED_VALUE"""),"N")</f>
        <v>N</v>
      </c>
      <c r="AE41" s="24"/>
      <c r="AF41" s="3">
        <f>IFERROR(__xludf.DUMMYFUNCTION("""COMPUTED_VALUE"""),3.5)</f>
        <v>3.5</v>
      </c>
      <c r="AG41" s="3">
        <f>IFERROR(__xludf.DUMMYFUNCTION("""COMPUTED_VALUE"""),6.75)</f>
        <v>6.75</v>
      </c>
      <c r="AH41" s="4">
        <f>IFERROR(__xludf.DUMMYFUNCTION("""COMPUTED_VALUE"""),2.0)</f>
        <v>2</v>
      </c>
      <c r="AI41" s="24">
        <f>IFERROR(__xludf.DUMMYFUNCTION("""COMPUTED_VALUE"""),2.0)</f>
        <v>2</v>
      </c>
      <c r="AJ41" s="37">
        <f>IFERROR(__xludf.DUMMYFUNCTION("""COMPUTED_VALUE"""),0.0)</f>
        <v>0</v>
      </c>
      <c r="AK41" s="3">
        <f>IFERROR(__xludf.DUMMYFUNCTION("""COMPUTED_VALUE"""),8.167)</f>
        <v>8.167</v>
      </c>
      <c r="AL41" s="3">
        <f>IFERROR(__xludf.DUMMYFUNCTION("""COMPUTED_VALUE"""),3.0)</f>
        <v>3</v>
      </c>
      <c r="AM41" s="22">
        <f>IFERROR(__xludf.DUMMYFUNCTION("""COMPUTED_VALUE"""),0.865)</f>
        <v>0.865</v>
      </c>
      <c r="AN41" s="2">
        <f>IFERROR(__xludf.DUMMYFUNCTION("""COMPUTED_VALUE"""),12.25)</f>
        <v>12.25</v>
      </c>
      <c r="AO41" s="2"/>
      <c r="AP41" s="2"/>
      <c r="AQ41" s="2"/>
      <c r="AR41" s="2"/>
      <c r="AS41" s="2"/>
      <c r="AT41" s="2"/>
      <c r="AU41" s="2"/>
      <c r="AV41" s="2"/>
      <c r="AW41" s="2"/>
      <c r="AX41" s="2">
        <f>IFERROR(__xludf.DUMMYFUNCTION("""COMPUTED_VALUE"""),2.0)</f>
        <v>2</v>
      </c>
      <c r="AY41" s="2"/>
    </row>
    <row r="42">
      <c r="A42" s="3">
        <f>IFERROR(__xludf.DUMMYFUNCTION("""COMPUTED_VALUE"""),34.0)</f>
        <v>34</v>
      </c>
      <c r="B42" s="3" t="str">
        <f>IFERROR(__xludf.DUMMYFUNCTION("""COMPUTED_VALUE"""),"24101675")</f>
        <v>24101675</v>
      </c>
      <c r="C42" s="35" t="str">
        <f>IFERROR(__xludf.DUMMYFUNCTION("""COMPUTED_VALUE"""),"Nafis Masrur Islam")</f>
        <v>Nafis Masrur Islam</v>
      </c>
      <c r="D42" s="36" t="str">
        <f>IFERROR(__xludf.DUMMYFUNCTION("""COMPUTED_VALUE"""),"nafis.masrur.islam@g.bracu.ac.bd")</f>
        <v>nafis.masrur.islam@g.bracu.ac.bd</v>
      </c>
      <c r="E42" s="24" t="b">
        <f>IFERROR(__xludf.DUMMYFUNCTION("""COMPUTED_VALUE"""),TRUE)</f>
        <v>1</v>
      </c>
      <c r="F42" s="3">
        <f>IFERROR(__xludf.DUMMYFUNCTION("""COMPUTED_VALUE"""),0.0)</f>
        <v>0</v>
      </c>
      <c r="G42" s="4" t="str">
        <f>IFERROR(__xludf.DUMMYFUNCTION("""COMPUTED_VALUE"""),"OKAY")</f>
        <v>OKAY</v>
      </c>
      <c r="H42" s="24">
        <f>IFERROR(__xludf.DUMMYFUNCTION("""COMPUTED_VALUE"""),1.0)</f>
        <v>1</v>
      </c>
      <c r="I42" s="3">
        <f>IFERROR(__xludf.DUMMYFUNCTION("""COMPUTED_VALUE"""),1.0)</f>
        <v>1</v>
      </c>
      <c r="J42" s="3">
        <f>IFERROR(__xludf.DUMMYFUNCTION("""COMPUTED_VALUE"""),1.0)</f>
        <v>1</v>
      </c>
      <c r="K42" s="3">
        <f>IFERROR(__xludf.DUMMYFUNCTION("""COMPUTED_VALUE"""),1.0)</f>
        <v>1</v>
      </c>
      <c r="L42" s="3">
        <f>IFERROR(__xludf.DUMMYFUNCTION("""COMPUTED_VALUE"""),1.0)</f>
        <v>1</v>
      </c>
      <c r="M42" s="3">
        <f>IFERROR(__xludf.DUMMYFUNCTION("""COMPUTED_VALUE"""),1.0)</f>
        <v>1</v>
      </c>
      <c r="N42" s="3">
        <f>IFERROR(__xludf.DUMMYFUNCTION("""COMPUTED_VALUE"""),1.0)</f>
        <v>1</v>
      </c>
      <c r="O42" s="4">
        <f>IFERROR(__xludf.DUMMYFUNCTION("""COMPUTED_VALUE"""),1.0)</f>
        <v>1</v>
      </c>
      <c r="P42" s="24"/>
      <c r="Q42" s="3">
        <f>IFERROR(__xludf.DUMMYFUNCTION("""COMPUTED_VALUE"""),5.0)</f>
        <v>5</v>
      </c>
      <c r="R42" s="3"/>
      <c r="S42" s="3"/>
      <c r="T42" s="3"/>
      <c r="U42" s="3">
        <f>IFERROR(__xludf.DUMMYFUNCTION("""COMPUTED_VALUE"""),5.0)</f>
        <v>5</v>
      </c>
      <c r="V42" s="3"/>
      <c r="W42" s="4"/>
      <c r="X42" s="24">
        <f>IFERROR(__xludf.DUMMYFUNCTION("""COMPUTED_VALUE"""),5.0)</f>
        <v>5</v>
      </c>
      <c r="Y42" s="3">
        <f>IFERROR(__xludf.DUMMYFUNCTION("""COMPUTED_VALUE"""),5.0)</f>
        <v>5</v>
      </c>
      <c r="Z42" s="3">
        <f>IFERROR(__xludf.DUMMYFUNCTION("""COMPUTED_VALUE"""),5.0)</f>
        <v>5</v>
      </c>
      <c r="AA42" s="3">
        <f>IFERROR(__xludf.DUMMYFUNCTION("""COMPUTED_VALUE"""),5.0)</f>
        <v>5</v>
      </c>
      <c r="AB42" s="3">
        <f>IFERROR(__xludf.DUMMYFUNCTION("""COMPUTED_VALUE"""),3.1)</f>
        <v>3.1</v>
      </c>
      <c r="AC42" s="3">
        <f>IFERROR(__xludf.DUMMYFUNCTION("""COMPUTED_VALUE"""),5.0)</f>
        <v>5</v>
      </c>
      <c r="AD42" s="4" t="str">
        <f>IFERROR(__xludf.DUMMYFUNCTION("""COMPUTED_VALUE"""),"N")</f>
        <v>N</v>
      </c>
      <c r="AE42" s="24">
        <f>IFERROR(__xludf.DUMMYFUNCTION("""COMPUTED_VALUE"""),5.0)</f>
        <v>5</v>
      </c>
      <c r="AF42" s="3">
        <f>IFERROR(__xludf.DUMMYFUNCTION("""COMPUTED_VALUE"""),7.5)</f>
        <v>7.5</v>
      </c>
      <c r="AG42" s="3">
        <f>IFERROR(__xludf.DUMMYFUNCTION("""COMPUTED_VALUE"""),8.0)</f>
        <v>8</v>
      </c>
      <c r="AH42" s="4">
        <f>IFERROR(__xludf.DUMMYFUNCTION("""COMPUTED_VALUE"""),7.75)</f>
        <v>7.75</v>
      </c>
      <c r="AI42" s="24">
        <f>IFERROR(__xludf.DUMMYFUNCTION("""COMPUTED_VALUE"""),4.0)</f>
        <v>4</v>
      </c>
      <c r="AJ42" s="37">
        <f>IFERROR(__xludf.DUMMYFUNCTION("""COMPUTED_VALUE"""),0.0)</f>
        <v>0</v>
      </c>
      <c r="AK42" s="3">
        <f>IFERROR(__xludf.DUMMYFUNCTION("""COMPUTED_VALUE"""),15.5)</f>
        <v>15.5</v>
      </c>
      <c r="AL42" s="3">
        <f>IFERROR(__xludf.DUMMYFUNCTION("""COMPUTED_VALUE"""),3.0)</f>
        <v>3</v>
      </c>
      <c r="AM42" s="22">
        <f>IFERROR(__xludf.DUMMYFUNCTION("""COMPUTED_VALUE"""),1.655)</f>
        <v>1.655</v>
      </c>
      <c r="AN42" s="2">
        <f>IFERROR(__xludf.DUMMYFUNCTION("""COMPUTED_VALUE"""),20.25)</f>
        <v>20.25</v>
      </c>
      <c r="AO42" s="2"/>
      <c r="AP42" s="2"/>
      <c r="AQ42" s="2"/>
      <c r="AR42" s="2"/>
      <c r="AS42" s="2"/>
      <c r="AT42" s="2"/>
      <c r="AU42" s="2"/>
      <c r="AV42" s="2"/>
      <c r="AW42" s="2"/>
      <c r="AX42" s="2">
        <f>IFERROR(__xludf.DUMMYFUNCTION("""COMPUTED_VALUE"""),2.0)</f>
        <v>2</v>
      </c>
      <c r="AY42" s="2"/>
    </row>
    <row r="43">
      <c r="A43" s="3">
        <f>IFERROR(__xludf.DUMMYFUNCTION("""COMPUTED_VALUE"""),35.0)</f>
        <v>35</v>
      </c>
      <c r="B43" s="3" t="str">
        <f>IFERROR(__xludf.DUMMYFUNCTION("""COMPUTED_VALUE"""),"24121039")</f>
        <v>24121039</v>
      </c>
      <c r="C43" s="35" t="str">
        <f>IFERROR(__xludf.DUMMYFUNCTION("""COMPUTED_VALUE"""),"Md. Afzal Hossain Anik")</f>
        <v>Md. Afzal Hossain Anik</v>
      </c>
      <c r="D43" s="36" t="str">
        <f>IFERROR(__xludf.DUMMYFUNCTION("""COMPUTED_VALUE"""),"afzal.hossain.anik@g.bracu.ac.bd")</f>
        <v>afzal.hossain.anik@g.bracu.ac.bd</v>
      </c>
      <c r="E43" s="24" t="b">
        <f>IFERROR(__xludf.DUMMYFUNCTION("""COMPUTED_VALUE"""),TRUE)</f>
        <v>1</v>
      </c>
      <c r="F43" s="3">
        <f>IFERROR(__xludf.DUMMYFUNCTION("""COMPUTED_VALUE"""),0.0)</f>
        <v>0</v>
      </c>
      <c r="G43" s="4" t="str">
        <f>IFERROR(__xludf.DUMMYFUNCTION("""COMPUTED_VALUE"""),"OKAY")</f>
        <v>OKAY</v>
      </c>
      <c r="H43" s="24">
        <f>IFERROR(__xludf.DUMMYFUNCTION("""COMPUTED_VALUE"""),1.0)</f>
        <v>1</v>
      </c>
      <c r="I43" s="3">
        <f>IFERROR(__xludf.DUMMYFUNCTION("""COMPUTED_VALUE"""),1.0)</f>
        <v>1</v>
      </c>
      <c r="J43" s="3">
        <f>IFERROR(__xludf.DUMMYFUNCTION("""COMPUTED_VALUE"""),1.0)</f>
        <v>1</v>
      </c>
      <c r="K43" s="3">
        <f>IFERROR(__xludf.DUMMYFUNCTION("""COMPUTED_VALUE"""),1.0)</f>
        <v>1</v>
      </c>
      <c r="L43" s="3">
        <f>IFERROR(__xludf.DUMMYFUNCTION("""COMPUTED_VALUE"""),1.0)</f>
        <v>1</v>
      </c>
      <c r="M43" s="3">
        <f>IFERROR(__xludf.DUMMYFUNCTION("""COMPUTED_VALUE"""),1.0)</f>
        <v>1</v>
      </c>
      <c r="N43" s="3">
        <f>IFERROR(__xludf.DUMMYFUNCTION("""COMPUTED_VALUE"""),1.0)</f>
        <v>1</v>
      </c>
      <c r="O43" s="4">
        <f>IFERROR(__xludf.DUMMYFUNCTION("""COMPUTED_VALUE"""),1.0)</f>
        <v>1</v>
      </c>
      <c r="P43" s="24"/>
      <c r="Q43" s="3">
        <f>IFERROR(__xludf.DUMMYFUNCTION("""COMPUTED_VALUE"""),4.0)</f>
        <v>4</v>
      </c>
      <c r="R43" s="3"/>
      <c r="S43" s="3"/>
      <c r="T43" s="3"/>
      <c r="U43" s="3">
        <f>IFERROR(__xludf.DUMMYFUNCTION("""COMPUTED_VALUE"""),3.5)</f>
        <v>3.5</v>
      </c>
      <c r="V43" s="3"/>
      <c r="W43" s="4"/>
      <c r="X43" s="24">
        <f>IFERROR(__xludf.DUMMYFUNCTION("""COMPUTED_VALUE"""),4.0)</f>
        <v>4</v>
      </c>
      <c r="Y43" s="3" t="str">
        <f>IFERROR(__xludf.DUMMYFUNCTION("""COMPUTED_VALUE"""),"N")</f>
        <v>N</v>
      </c>
      <c r="Z43" s="3">
        <f>IFERROR(__xludf.DUMMYFUNCTION("""COMPUTED_VALUE"""),5.0)</f>
        <v>5</v>
      </c>
      <c r="AA43" s="3" t="str">
        <f>IFERROR(__xludf.DUMMYFUNCTION("""COMPUTED_VALUE"""),"N")</f>
        <v>N</v>
      </c>
      <c r="AB43" s="3" t="str">
        <f>IFERROR(__xludf.DUMMYFUNCTION("""COMPUTED_VALUE"""),"N")</f>
        <v>N</v>
      </c>
      <c r="AC43" s="3">
        <f>IFERROR(__xludf.DUMMYFUNCTION("""COMPUTED_VALUE"""),5.0)</f>
        <v>5</v>
      </c>
      <c r="AD43" s="4" t="str">
        <f>IFERROR(__xludf.DUMMYFUNCTION("""COMPUTED_VALUE"""),"N")</f>
        <v>N</v>
      </c>
      <c r="AE43" s="24"/>
      <c r="AF43" s="3">
        <f>IFERROR(__xludf.DUMMYFUNCTION("""COMPUTED_VALUE"""),5.5)</f>
        <v>5.5</v>
      </c>
      <c r="AG43" s="3">
        <f>IFERROR(__xludf.DUMMYFUNCTION("""COMPUTED_VALUE"""),4.5)</f>
        <v>4.5</v>
      </c>
      <c r="AH43" s="4">
        <f>IFERROR(__xludf.DUMMYFUNCTION("""COMPUTED_VALUE"""),4.75)</f>
        <v>4.75</v>
      </c>
      <c r="AI43" s="24">
        <f>IFERROR(__xludf.DUMMYFUNCTION("""COMPUTED_VALUE"""),1.0)</f>
        <v>1</v>
      </c>
      <c r="AJ43" s="37">
        <f>IFERROR(__xludf.DUMMYFUNCTION("""COMPUTED_VALUE"""),0.0)</f>
        <v>0</v>
      </c>
      <c r="AK43" s="3">
        <f>IFERROR(__xludf.DUMMYFUNCTION("""COMPUTED_VALUE"""),9.834)</f>
        <v>9.834</v>
      </c>
      <c r="AL43" s="3">
        <f>IFERROR(__xludf.DUMMYFUNCTION("""COMPUTED_VALUE"""),2.25)</f>
        <v>2.25</v>
      </c>
      <c r="AM43" s="22">
        <f>IFERROR(__xludf.DUMMYFUNCTION("""COMPUTED_VALUE"""),0.7)</f>
        <v>0.7</v>
      </c>
      <c r="AN43" s="2">
        <f>IFERROR(__xludf.DUMMYFUNCTION("""COMPUTED_VALUE"""),13.0)</f>
        <v>13</v>
      </c>
      <c r="AO43" s="2"/>
      <c r="AP43" s="2"/>
      <c r="AQ43" s="2"/>
      <c r="AR43" s="2"/>
      <c r="AS43" s="2"/>
      <c r="AT43" s="2"/>
      <c r="AU43" s="2"/>
      <c r="AV43" s="2"/>
      <c r="AW43" s="2"/>
      <c r="AX43" s="2">
        <f>IFERROR(__xludf.DUMMYFUNCTION("""COMPUTED_VALUE"""),2.0)</f>
        <v>2</v>
      </c>
      <c r="AY43" s="2"/>
    </row>
    <row r="44">
      <c r="A44" s="3">
        <f>IFERROR(__xludf.DUMMYFUNCTION("""COMPUTED_VALUE"""),36.0)</f>
        <v>36</v>
      </c>
      <c r="B44" s="3" t="str">
        <f>IFERROR(__xludf.DUMMYFUNCTION("""COMPUTED_VALUE"""),"24201284")</f>
        <v>24201284</v>
      </c>
      <c r="C44" s="35" t="str">
        <f>IFERROR(__xludf.DUMMYFUNCTION("""COMPUTED_VALUE"""),"Abid Abbas")</f>
        <v>Abid Abbas</v>
      </c>
      <c r="D44" s="36" t="str">
        <f>IFERROR(__xludf.DUMMYFUNCTION("""COMPUTED_VALUE"""),"abid.abbas@g.bracu.ac.bd")</f>
        <v>abid.abbas@g.bracu.ac.bd</v>
      </c>
      <c r="E44" s="24" t="b">
        <f>IFERROR(__xludf.DUMMYFUNCTION("""COMPUTED_VALUE"""),TRUE)</f>
        <v>1</v>
      </c>
      <c r="F44" s="3">
        <f>IFERROR(__xludf.DUMMYFUNCTION("""COMPUTED_VALUE"""),1.0)</f>
        <v>1</v>
      </c>
      <c r="G44" s="4" t="str">
        <f>IFERROR(__xludf.DUMMYFUNCTION("""COMPUTED_VALUE"""),"WARNING")</f>
        <v>WARNING</v>
      </c>
      <c r="H44" s="24">
        <f>IFERROR(__xludf.DUMMYFUNCTION("""COMPUTED_VALUE"""),1.0)</f>
        <v>1</v>
      </c>
      <c r="I44" s="3">
        <f>IFERROR(__xludf.DUMMYFUNCTION("""COMPUTED_VALUE"""),1.0)</f>
        <v>1</v>
      </c>
      <c r="J44" s="3">
        <f>IFERROR(__xludf.DUMMYFUNCTION("""COMPUTED_VALUE"""),1.0)</f>
        <v>1</v>
      </c>
      <c r="K44" s="3">
        <f>IFERROR(__xludf.DUMMYFUNCTION("""COMPUTED_VALUE"""),1.0)</f>
        <v>1</v>
      </c>
      <c r="L44" s="3">
        <f>IFERROR(__xludf.DUMMYFUNCTION("""COMPUTED_VALUE"""),1.0)</f>
        <v>1</v>
      </c>
      <c r="M44" s="3">
        <f>IFERROR(__xludf.DUMMYFUNCTION("""COMPUTED_VALUE"""),1.0)</f>
        <v>1</v>
      </c>
      <c r="N44" s="3">
        <f>IFERROR(__xludf.DUMMYFUNCTION("""COMPUTED_VALUE"""),1.0)</f>
        <v>1</v>
      </c>
      <c r="O44" s="4">
        <f>IFERROR(__xludf.DUMMYFUNCTION("""COMPUTED_VALUE"""),0.0)</f>
        <v>0</v>
      </c>
      <c r="P44" s="24"/>
      <c r="Q44" s="3">
        <f>IFERROR(__xludf.DUMMYFUNCTION("""COMPUTED_VALUE"""),4.5)</f>
        <v>4.5</v>
      </c>
      <c r="R44" s="3"/>
      <c r="S44" s="3"/>
      <c r="T44" s="3"/>
      <c r="U44" s="3">
        <f>IFERROR(__xludf.DUMMYFUNCTION("""COMPUTED_VALUE"""),2.5)</f>
        <v>2.5</v>
      </c>
      <c r="V44" s="3"/>
      <c r="W44" s="4"/>
      <c r="X44" s="24">
        <f>IFERROR(__xludf.DUMMYFUNCTION("""COMPUTED_VALUE"""),0.0)</f>
        <v>0</v>
      </c>
      <c r="Y44" s="3" t="str">
        <f>IFERROR(__xludf.DUMMYFUNCTION("""COMPUTED_VALUE"""),"N")</f>
        <v>N</v>
      </c>
      <c r="Z44" s="3"/>
      <c r="AA44" s="3" t="str">
        <f>IFERROR(__xludf.DUMMYFUNCTION("""COMPUTED_VALUE"""),"N")</f>
        <v>N</v>
      </c>
      <c r="AB44" s="3" t="str">
        <f>IFERROR(__xludf.DUMMYFUNCTION("""COMPUTED_VALUE"""),"N")</f>
        <v>N</v>
      </c>
      <c r="AC44" s="3"/>
      <c r="AD44" s="4" t="str">
        <f>IFERROR(__xludf.DUMMYFUNCTION("""COMPUTED_VALUE"""),"N")</f>
        <v>N</v>
      </c>
      <c r="AE44" s="24"/>
      <c r="AF44" s="3">
        <f>IFERROR(__xludf.DUMMYFUNCTION("""COMPUTED_VALUE"""),4.5)</f>
        <v>4.5</v>
      </c>
      <c r="AG44" s="3">
        <f>IFERROR(__xludf.DUMMYFUNCTION("""COMPUTED_VALUE"""),5.5)</f>
        <v>5.5</v>
      </c>
      <c r="AH44" s="4">
        <f>IFERROR(__xludf.DUMMYFUNCTION("""COMPUTED_VALUE"""),6.25)</f>
        <v>6.25</v>
      </c>
      <c r="AI44" s="24"/>
      <c r="AJ44" s="37">
        <f>IFERROR(__xludf.DUMMYFUNCTION("""COMPUTED_VALUE"""),0.0)</f>
        <v>0</v>
      </c>
      <c r="AK44" s="3">
        <f>IFERROR(__xludf.DUMMYFUNCTION("""COMPUTED_VALUE"""),10.834)</f>
        <v>10.834</v>
      </c>
      <c r="AL44" s="3">
        <f>IFERROR(__xludf.DUMMYFUNCTION("""COMPUTED_VALUE"""),2.1)</f>
        <v>2.1</v>
      </c>
      <c r="AM44" s="22">
        <f>IFERROR(__xludf.DUMMYFUNCTION("""COMPUTED_VALUE"""),0.0)</f>
        <v>0</v>
      </c>
      <c r="AN44" s="2">
        <f>IFERROR(__xludf.DUMMYFUNCTION("""COMPUTED_VALUE"""),13.0)</f>
        <v>13</v>
      </c>
      <c r="AO44" s="2"/>
      <c r="AP44" s="2"/>
      <c r="AQ44" s="2"/>
      <c r="AR44" s="2"/>
      <c r="AS44" s="2"/>
      <c r="AT44" s="2"/>
      <c r="AU44" s="2"/>
      <c r="AV44" s="2"/>
      <c r="AW44" s="2"/>
      <c r="AX44" s="2">
        <f>IFERROR(__xludf.DUMMYFUNCTION("""COMPUTED_VALUE"""),2.0)</f>
        <v>2</v>
      </c>
      <c r="AY44" s="2"/>
    </row>
    <row r="45">
      <c r="A45" s="3">
        <f>IFERROR(__xludf.DUMMYFUNCTION("""COMPUTED_VALUE"""),37.0)</f>
        <v>37</v>
      </c>
      <c r="B45" s="3" t="str">
        <f>IFERROR(__xludf.DUMMYFUNCTION("""COMPUTED_VALUE"""),"24301022")</f>
        <v>24301022</v>
      </c>
      <c r="C45" s="35" t="str">
        <f>IFERROR(__xludf.DUMMYFUNCTION("""COMPUTED_VALUE"""),"Sadia Rahman Nimu")</f>
        <v>Sadia Rahman Nimu</v>
      </c>
      <c r="D45" s="36" t="str">
        <f>IFERROR(__xludf.DUMMYFUNCTION("""COMPUTED_VALUE"""),"sadia.rahman.nimu@g.bracu.ac.bd")</f>
        <v>sadia.rahman.nimu@g.bracu.ac.bd</v>
      </c>
      <c r="E45" s="24" t="b">
        <f>IFERROR(__xludf.DUMMYFUNCTION("""COMPUTED_VALUE"""),TRUE)</f>
        <v>1</v>
      </c>
      <c r="F45" s="3">
        <f>IFERROR(__xludf.DUMMYFUNCTION("""COMPUTED_VALUE"""),1.0)</f>
        <v>1</v>
      </c>
      <c r="G45" s="4" t="str">
        <f>IFERROR(__xludf.DUMMYFUNCTION("""COMPUTED_VALUE"""),"WARNING")</f>
        <v>WARNING</v>
      </c>
      <c r="H45" s="24">
        <f>IFERROR(__xludf.DUMMYFUNCTION("""COMPUTED_VALUE"""),1.0)</f>
        <v>1</v>
      </c>
      <c r="I45" s="3">
        <f>IFERROR(__xludf.DUMMYFUNCTION("""COMPUTED_VALUE"""),0.0)</f>
        <v>0</v>
      </c>
      <c r="J45" s="3">
        <f>IFERROR(__xludf.DUMMYFUNCTION("""COMPUTED_VALUE"""),1.0)</f>
        <v>1</v>
      </c>
      <c r="K45" s="3">
        <f>IFERROR(__xludf.DUMMYFUNCTION("""COMPUTED_VALUE"""),1.0)</f>
        <v>1</v>
      </c>
      <c r="L45" s="3">
        <f>IFERROR(__xludf.DUMMYFUNCTION("""COMPUTED_VALUE"""),1.0)</f>
        <v>1</v>
      </c>
      <c r="M45" s="3">
        <f>IFERROR(__xludf.DUMMYFUNCTION("""COMPUTED_VALUE"""),1.0)</f>
        <v>1</v>
      </c>
      <c r="N45" s="3">
        <f>IFERROR(__xludf.DUMMYFUNCTION("""COMPUTED_VALUE"""),1.0)</f>
        <v>1</v>
      </c>
      <c r="O45" s="4">
        <f>IFERROR(__xludf.DUMMYFUNCTION("""COMPUTED_VALUE"""),1.0)</f>
        <v>1</v>
      </c>
      <c r="P45" s="24"/>
      <c r="Q45" s="3">
        <f>IFERROR(__xludf.DUMMYFUNCTION("""COMPUTED_VALUE"""),0.0)</f>
        <v>0</v>
      </c>
      <c r="R45" s="3"/>
      <c r="S45" s="3"/>
      <c r="T45" s="3"/>
      <c r="U45" s="3">
        <f>IFERROR(__xludf.DUMMYFUNCTION("""COMPUTED_VALUE"""),5.0)</f>
        <v>5</v>
      </c>
      <c r="V45" s="3"/>
      <c r="W45" s="4"/>
      <c r="X45" s="24">
        <f>IFERROR(__xludf.DUMMYFUNCTION("""COMPUTED_VALUE"""),3.5)</f>
        <v>3.5</v>
      </c>
      <c r="Y45" s="3" t="str">
        <f>IFERROR(__xludf.DUMMYFUNCTION("""COMPUTED_VALUE"""),"N")</f>
        <v>N</v>
      </c>
      <c r="Z45" s="3">
        <f>IFERROR(__xludf.DUMMYFUNCTION("""COMPUTED_VALUE"""),5.0)</f>
        <v>5</v>
      </c>
      <c r="AA45" s="3" t="str">
        <f>IFERROR(__xludf.DUMMYFUNCTION("""COMPUTED_VALUE"""),"N")</f>
        <v>N</v>
      </c>
      <c r="AB45" s="3">
        <f>IFERROR(__xludf.DUMMYFUNCTION("""COMPUTED_VALUE"""),2.9)</f>
        <v>2.9</v>
      </c>
      <c r="AC45" s="3">
        <f>IFERROR(__xludf.DUMMYFUNCTION("""COMPUTED_VALUE"""),5.0)</f>
        <v>5</v>
      </c>
      <c r="AD45" s="4">
        <f>IFERROR(__xludf.DUMMYFUNCTION("""COMPUTED_VALUE"""),3.2)</f>
        <v>3.2</v>
      </c>
      <c r="AE45" s="24">
        <f>IFERROR(__xludf.DUMMYFUNCTION("""COMPUTED_VALUE"""),5.0)</f>
        <v>5</v>
      </c>
      <c r="AF45" s="3">
        <f>IFERROR(__xludf.DUMMYFUNCTION("""COMPUTED_VALUE"""),5.5)</f>
        <v>5.5</v>
      </c>
      <c r="AG45" s="3">
        <f>IFERROR(__xludf.DUMMYFUNCTION("""COMPUTED_VALUE"""),5.5)</f>
        <v>5.5</v>
      </c>
      <c r="AH45" s="4">
        <f>IFERROR(__xludf.DUMMYFUNCTION("""COMPUTED_VALUE"""),3.75)</f>
        <v>3.75</v>
      </c>
      <c r="AI45" s="24">
        <f>IFERROR(__xludf.DUMMYFUNCTION("""COMPUTED_VALUE"""),3.0)</f>
        <v>3</v>
      </c>
      <c r="AJ45" s="37">
        <f>IFERROR(__xludf.DUMMYFUNCTION("""COMPUTED_VALUE"""),0.0)</f>
        <v>0</v>
      </c>
      <c r="AK45" s="3">
        <f>IFERROR(__xludf.DUMMYFUNCTION("""COMPUTED_VALUE"""),9.834)</f>
        <v>9.834</v>
      </c>
      <c r="AL45" s="3">
        <f>IFERROR(__xludf.DUMMYFUNCTION("""COMPUTED_VALUE"""),1.5)</f>
        <v>1.5</v>
      </c>
      <c r="AM45" s="22">
        <f>IFERROR(__xludf.DUMMYFUNCTION("""COMPUTED_VALUE"""),1.23)</f>
        <v>1.23</v>
      </c>
      <c r="AN45" s="2">
        <f>IFERROR(__xludf.DUMMYFUNCTION("""COMPUTED_VALUE"""),12.75)</f>
        <v>12.75</v>
      </c>
      <c r="AO45" s="2"/>
      <c r="AP45" s="2"/>
      <c r="AQ45" s="2"/>
      <c r="AR45" s="2"/>
      <c r="AS45" s="2"/>
      <c r="AT45" s="2"/>
      <c r="AU45" s="2"/>
      <c r="AV45" s="2"/>
      <c r="AW45" s="2"/>
      <c r="AX45" s="2">
        <f>IFERROR(__xludf.DUMMYFUNCTION("""COMPUTED_VALUE"""),2.0)</f>
        <v>2</v>
      </c>
      <c r="AY45" s="2"/>
    </row>
  </sheetData>
  <drawing r:id="rId1"/>
</worksheet>
</file>